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id\Downloads\"/>
    </mc:Choice>
  </mc:AlternateContent>
  <xr:revisionPtr revIDLastSave="0" documentId="13_ncr:1_{5ED50A59-E320-44D4-92A5-338AC1B82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 " sheetId="160" r:id="rId1"/>
    <sheet name="Feuil1" sheetId="164" r:id="rId2"/>
    <sheet name="Présentation" sheetId="161" r:id="rId3"/>
    <sheet name="Tableau de bord" sheetId="163" r:id="rId4"/>
    <sheet name="Analyse" sheetId="52" r:id="rId5"/>
  </sheets>
  <definedNames>
    <definedName name="_xlchart.v1.0" hidden="1">'Données '!$C$4:$D$36</definedName>
    <definedName name="_xlchart.v1.1" hidden="1">'Données '!$E$4:$E$36</definedName>
    <definedName name="_xlchart.v1.2" hidden="1">'Données '!$C$4:$D$36</definedName>
    <definedName name="_xlchart.v1.3" hidden="1">'Données '!$E$4:$E$36</definedName>
    <definedName name="_xlchart.v1.4" hidden="1">'Données '!$C$4:$D$36</definedName>
    <definedName name="_xlchart.v1.5" hidden="1">'Données '!$E$4:$E$36</definedName>
    <definedName name="_xlchart.v1.6" hidden="1">'Données '!$C$4:$D$36</definedName>
    <definedName name="_xlchart.v1.7" hidden="1">'Données '!$E$4:$E$36</definedName>
    <definedName name="_xlchart.v1.8" hidden="1">'Données '!$C$4:$D$36</definedName>
    <definedName name="_xlchart.v1.9" hidden="1">'Données '!$E$4:$E$36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60" l="1"/>
  <c r="F4" i="160"/>
  <c r="W67" i="160"/>
  <c r="X67" i="160"/>
  <c r="Y67" i="160"/>
  <c r="I67" i="160"/>
  <c r="P67" i="160"/>
  <c r="Q67" i="160"/>
  <c r="L67" i="160"/>
  <c r="E67" i="160"/>
  <c r="F67" i="160"/>
  <c r="G67" i="160"/>
  <c r="H67" i="160"/>
  <c r="K67" i="160"/>
  <c r="M67" i="160"/>
  <c r="N67" i="160"/>
  <c r="T67" i="160"/>
  <c r="U67" i="160"/>
  <c r="C47" i="160"/>
  <c r="V67" i="160" l="1"/>
  <c r="Z67" i="160"/>
  <c r="O67" i="160"/>
  <c r="R67" i="160"/>
  <c r="C56" i="160"/>
  <c r="C57" i="160"/>
  <c r="J47" i="160"/>
  <c r="I46" i="160"/>
  <c r="R46" i="160" s="1"/>
  <c r="I47" i="160"/>
  <c r="C46" i="160"/>
  <c r="D46" i="160"/>
  <c r="D47" i="160"/>
  <c r="C48" i="160"/>
  <c r="C49" i="160"/>
  <c r="C50" i="160"/>
  <c r="C51" i="160"/>
  <c r="E106" i="160"/>
  <c r="C52" i="160"/>
  <c r="C53" i="160"/>
  <c r="C54" i="160"/>
  <c r="C55" i="160"/>
  <c r="C58" i="160"/>
  <c r="C59" i="160"/>
  <c r="C61" i="160"/>
  <c r="C62" i="160"/>
  <c r="C63" i="160"/>
  <c r="C64" i="160"/>
  <c r="C65" i="160"/>
  <c r="C66" i="160"/>
  <c r="J46" i="160"/>
  <c r="O46" i="160"/>
  <c r="P46" i="160"/>
  <c r="Q46" i="160"/>
  <c r="U46" i="160"/>
  <c r="V46" i="160" s="1"/>
  <c r="W46" i="160"/>
  <c r="X46" i="160"/>
  <c r="AA46" i="160" s="1"/>
  <c r="Y46" i="160"/>
  <c r="O47" i="160"/>
  <c r="P47" i="160"/>
  <c r="Q47" i="160"/>
  <c r="U47" i="160"/>
  <c r="V47" i="160" s="1"/>
  <c r="W47" i="160"/>
  <c r="X47" i="160"/>
  <c r="Y47" i="160"/>
  <c r="J67" i="160" l="1"/>
  <c r="AA67" i="160"/>
  <c r="AB67" i="160" s="1"/>
  <c r="S47" i="160"/>
  <c r="S67" i="160" s="1"/>
  <c r="S46" i="160"/>
  <c r="F126" i="160"/>
  <c r="F127" i="160"/>
  <c r="Z47" i="160"/>
  <c r="Z46" i="160"/>
  <c r="AB46" i="160" s="1"/>
  <c r="AA47" i="160"/>
  <c r="R47" i="160"/>
  <c r="AB47" i="160" l="1"/>
  <c r="F129" i="160" l="1"/>
  <c r="E107" i="160"/>
  <c r="F107" i="160" s="1"/>
  <c r="E108" i="160" l="1"/>
  <c r="F108" i="160" s="1"/>
  <c r="R15" i="52" l="1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DA11" i="52"/>
  <c r="CZ11" i="52"/>
  <c r="CY11" i="52"/>
  <c r="CX11" i="52"/>
  <c r="CW11" i="52"/>
  <c r="CV11" i="52"/>
  <c r="CU11" i="52"/>
  <c r="CT11" i="52"/>
  <c r="CS11" i="52"/>
  <c r="CR11" i="52"/>
  <c r="CQ11" i="52"/>
  <c r="CP11" i="52"/>
  <c r="CO11" i="52"/>
  <c r="CN11" i="52"/>
  <c r="CM11" i="52"/>
  <c r="CL11" i="52"/>
  <c r="CK11" i="52"/>
  <c r="CJ11" i="52"/>
  <c r="CI11" i="52"/>
  <c r="CH11" i="52"/>
  <c r="CG11" i="52"/>
  <c r="CF11" i="52"/>
  <c r="CE11" i="52"/>
  <c r="CD11" i="52"/>
  <c r="CC11" i="52"/>
  <c r="CB11" i="52"/>
  <c r="CA11" i="52"/>
  <c r="BZ11" i="52"/>
  <c r="BY11" i="52"/>
  <c r="BX11" i="52"/>
  <c r="BW11" i="52"/>
  <c r="BV11" i="52"/>
  <c r="BU11" i="52"/>
  <c r="BT11" i="52"/>
  <c r="BS11" i="52"/>
  <c r="BR11" i="52"/>
  <c r="BQ11" i="52"/>
  <c r="BP11" i="52"/>
  <c r="BO11" i="52"/>
  <c r="BN11" i="52"/>
  <c r="BM11" i="52"/>
  <c r="BL11" i="52"/>
  <c r="BK11" i="52"/>
  <c r="BJ11" i="52"/>
  <c r="BI11" i="52"/>
  <c r="BH11" i="52"/>
  <c r="BG11" i="52"/>
  <c r="BF11" i="52"/>
  <c r="BE11" i="52"/>
  <c r="BD11" i="52"/>
  <c r="BC11" i="52"/>
  <c r="BB11" i="52"/>
  <c r="BA11" i="52"/>
  <c r="AZ11" i="52"/>
  <c r="AY11" i="52"/>
  <c r="AX11" i="52"/>
  <c r="AW11" i="52"/>
  <c r="AV11" i="52"/>
  <c r="AU11" i="52"/>
  <c r="AT11" i="52"/>
  <c r="AS11" i="52"/>
  <c r="AR11" i="52"/>
  <c r="AQ11" i="52"/>
  <c r="AP11" i="52"/>
  <c r="AO11" i="52"/>
  <c r="AN11" i="52"/>
  <c r="AM11" i="52"/>
  <c r="AL11" i="52"/>
  <c r="AK11" i="52"/>
  <c r="AJ11" i="52"/>
  <c r="AI11" i="52"/>
  <c r="AH11" i="52"/>
  <c r="AG11" i="52"/>
  <c r="AF11" i="52"/>
  <c r="AE11" i="52"/>
  <c r="AD11" i="52"/>
  <c r="AC11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E11" i="52"/>
  <c r="D11" i="52"/>
  <c r="C11" i="52"/>
  <c r="C10" i="52"/>
  <c r="CX4" i="52"/>
  <c r="CW4" i="52"/>
  <c r="CV4" i="52"/>
  <c r="CU4" i="52"/>
  <c r="CT4" i="52"/>
  <c r="CS4" i="52"/>
  <c r="CR4" i="52"/>
  <c r="CQ4" i="52"/>
  <c r="CP4" i="52"/>
  <c r="CO4" i="52"/>
  <c r="CN4" i="52"/>
  <c r="CM4" i="52"/>
  <c r="CL4" i="52"/>
  <c r="CK4" i="52"/>
  <c r="CJ4" i="52"/>
  <c r="CI4" i="52"/>
  <c r="CH4" i="52"/>
  <c r="CG4" i="52"/>
  <c r="CF4" i="52"/>
  <c r="CE4" i="52"/>
  <c r="CD4" i="52"/>
  <c r="CC4" i="52"/>
  <c r="CB4" i="52"/>
  <c r="CA4" i="52"/>
  <c r="BZ4" i="52"/>
  <c r="BY4" i="52"/>
  <c r="BX4" i="52"/>
  <c r="BW4" i="52"/>
  <c r="BV4" i="52"/>
  <c r="BU4" i="52"/>
  <c r="BT4" i="52"/>
  <c r="BS4" i="52"/>
  <c r="BR4" i="52"/>
  <c r="BQ4" i="52"/>
  <c r="BP4" i="52"/>
  <c r="BO4" i="52"/>
  <c r="BN4" i="52"/>
  <c r="BM4" i="52"/>
  <c r="BL4" i="52"/>
  <c r="BK4" i="52"/>
  <c r="BJ4" i="52"/>
  <c r="BI4" i="52"/>
  <c r="BH4" i="52"/>
  <c r="BG4" i="52"/>
  <c r="BF4" i="52"/>
  <c r="BE4" i="52"/>
  <c r="BD4" i="52"/>
  <c r="BC4" i="52"/>
  <c r="BB4" i="52"/>
  <c r="BA4" i="52"/>
  <c r="AZ4" i="52"/>
  <c r="AY4" i="52"/>
  <c r="AX4" i="52"/>
  <c r="AW4" i="52"/>
  <c r="AV4" i="52"/>
  <c r="AU4" i="52"/>
  <c r="AT4" i="52"/>
  <c r="AS4" i="52"/>
  <c r="AR4" i="52"/>
  <c r="AQ4" i="52"/>
  <c r="AP4" i="52"/>
  <c r="AO4" i="52"/>
  <c r="AN4" i="52"/>
  <c r="AM4" i="52"/>
  <c r="AL4" i="52"/>
  <c r="AK4" i="52"/>
  <c r="AJ4" i="52"/>
  <c r="AI4" i="52"/>
  <c r="AH4" i="52"/>
  <c r="AG4" i="52"/>
  <c r="AF4" i="52"/>
  <c r="AE4" i="52"/>
  <c r="AD4" i="52"/>
  <c r="AC4" i="52"/>
  <c r="AB4" i="52"/>
  <c r="AA4" i="52"/>
  <c r="Z4" i="52"/>
  <c r="Y4" i="52"/>
  <c r="X4" i="52"/>
  <c r="W4" i="52"/>
  <c r="V4" i="52"/>
  <c r="U4" i="52"/>
  <c r="T4" i="52"/>
  <c r="S4" i="52"/>
  <c r="R4" i="52"/>
  <c r="R12" i="52" s="1"/>
  <c r="Q4" i="52"/>
  <c r="Q12" i="52" s="1"/>
  <c r="P4" i="52"/>
  <c r="P12" i="52" s="1"/>
  <c r="O4" i="52"/>
  <c r="O12" i="52" s="1"/>
  <c r="N4" i="52"/>
  <c r="N12" i="52" s="1"/>
  <c r="M4" i="52"/>
  <c r="M12" i="52" s="1"/>
  <c r="L4" i="52"/>
  <c r="L12" i="52" s="1"/>
  <c r="K4" i="52"/>
  <c r="K12" i="52" s="1"/>
  <c r="J4" i="52"/>
  <c r="J12" i="52" s="1"/>
  <c r="I4" i="52"/>
  <c r="I12" i="52" s="1"/>
  <c r="H4" i="52"/>
  <c r="H12" i="52" s="1"/>
  <c r="G4" i="52"/>
  <c r="G12" i="52" s="1"/>
  <c r="F4" i="52"/>
  <c r="F12" i="52" s="1"/>
  <c r="E4" i="52"/>
  <c r="E12" i="52" s="1"/>
  <c r="D4" i="52"/>
  <c r="D12" i="52" s="1"/>
  <c r="C4" i="52"/>
  <c r="C12" i="52" s="1"/>
  <c r="D2" i="52"/>
  <c r="D10" i="52" s="1"/>
  <c r="E2" i="52" l="1"/>
  <c r="E10" i="52" s="1"/>
  <c r="F2" i="52" l="1"/>
  <c r="F10" i="52" s="1"/>
  <c r="G2" i="52" l="1"/>
  <c r="G10" i="52" s="1"/>
  <c r="H2" i="52" l="1"/>
  <c r="H10" i="52" s="1"/>
  <c r="I2" i="52" l="1"/>
  <c r="I10" i="52" s="1"/>
  <c r="J2" i="52" l="1"/>
  <c r="K2" i="52" s="1"/>
  <c r="J10" i="52" l="1"/>
  <c r="K10" i="52"/>
  <c r="L2" i="52"/>
  <c r="L10" i="52" l="1"/>
  <c r="M2" i="52"/>
  <c r="M10" i="52" l="1"/>
  <c r="N2" i="52"/>
  <c r="N10" i="52" l="1"/>
  <c r="O2" i="52"/>
  <c r="O10" i="52" l="1"/>
  <c r="P2" i="52"/>
  <c r="P10" i="52" l="1"/>
  <c r="Q2" i="52"/>
  <c r="R2" i="52" l="1"/>
  <c r="Q10" i="52"/>
  <c r="R10" i="52" l="1"/>
  <c r="S2" i="52"/>
  <c r="S10" i="52" l="1"/>
  <c r="T2" i="52"/>
  <c r="T10" i="52" l="1"/>
  <c r="U2" i="52"/>
  <c r="U10" i="52" l="1"/>
  <c r="V2" i="52"/>
  <c r="V10" i="52" l="1"/>
  <c r="W2" i="52"/>
  <c r="W10" i="52" l="1"/>
  <c r="X2" i="52"/>
  <c r="X10" i="52" l="1"/>
  <c r="Y2" i="52"/>
  <c r="Z2" i="52" l="1"/>
  <c r="Y10" i="52"/>
  <c r="AA2" i="52" l="1"/>
  <c r="Z10" i="52"/>
  <c r="AA10" i="52" l="1"/>
  <c r="AB2" i="52"/>
  <c r="AB10" i="52" l="1"/>
  <c r="AC2" i="52"/>
  <c r="AC10" i="52" l="1"/>
  <c r="AD2" i="52"/>
  <c r="AD10" i="52" l="1"/>
  <c r="AE2" i="52"/>
  <c r="AE10" i="52" l="1"/>
  <c r="AF2" i="52"/>
  <c r="AF10" i="52" l="1"/>
  <c r="AG2" i="52"/>
  <c r="AH2" i="52" l="1"/>
  <c r="AG10" i="52"/>
  <c r="AH10" i="52" l="1"/>
  <c r="AI2" i="52"/>
  <c r="AI10" i="52" l="1"/>
  <c r="AJ2" i="52"/>
  <c r="AJ10" i="52" l="1"/>
  <c r="AK2" i="52"/>
  <c r="AK10" i="52" l="1"/>
  <c r="AL2" i="52"/>
  <c r="AL10" i="52" l="1"/>
  <c r="AM2" i="52"/>
  <c r="AM10" i="52" l="1"/>
  <c r="AN2" i="52"/>
  <c r="AN10" i="52" l="1"/>
  <c r="AO2" i="52"/>
  <c r="AP2" i="52" l="1"/>
  <c r="AO10" i="52"/>
  <c r="AQ2" i="52" l="1"/>
  <c r="AP10" i="52"/>
  <c r="AQ10" i="52" l="1"/>
  <c r="AR2" i="52"/>
  <c r="AR10" i="52" l="1"/>
  <c r="AS2" i="52"/>
  <c r="AS10" i="52" l="1"/>
  <c r="AT2" i="52"/>
  <c r="AT10" i="52" l="1"/>
  <c r="AU2" i="52"/>
  <c r="AU10" i="52" l="1"/>
  <c r="AV2" i="52"/>
  <c r="AV10" i="52" l="1"/>
  <c r="AW2" i="52"/>
  <c r="AX2" i="52" l="1"/>
  <c r="AW10" i="52"/>
  <c r="AX10" i="52" l="1"/>
  <c r="AY2" i="52"/>
  <c r="AY10" i="52" l="1"/>
  <c r="AZ2" i="52"/>
  <c r="AZ10" i="52" l="1"/>
  <c r="BA2" i="52"/>
  <c r="BA10" i="52" l="1"/>
  <c r="BB2" i="52"/>
  <c r="BB10" i="52" l="1"/>
  <c r="BC2" i="52"/>
  <c r="BC10" i="52" l="1"/>
  <c r="BD2" i="52"/>
  <c r="BD10" i="52" l="1"/>
  <c r="BE2" i="52"/>
  <c r="BF2" i="52" l="1"/>
  <c r="BE10" i="52"/>
  <c r="BF10" i="52" l="1"/>
  <c r="BG2" i="52"/>
  <c r="BG10" i="52" l="1"/>
  <c r="BH2" i="52"/>
  <c r="BH10" i="52" l="1"/>
  <c r="BI2" i="52"/>
  <c r="BI10" i="52" l="1"/>
  <c r="BJ2" i="52"/>
  <c r="BJ10" i="52" l="1"/>
  <c r="BK2" i="52"/>
  <c r="BK10" i="52" l="1"/>
  <c r="BL2" i="52"/>
  <c r="BL10" i="52" l="1"/>
  <c r="BM2" i="52"/>
  <c r="BN2" i="52" l="1"/>
  <c r="BM10" i="52"/>
  <c r="BN10" i="52" l="1"/>
  <c r="BO2" i="52"/>
  <c r="BO10" i="52" l="1"/>
  <c r="BP2" i="52"/>
  <c r="BP10" i="52" l="1"/>
  <c r="BQ2" i="52"/>
  <c r="BQ10" i="52" l="1"/>
  <c r="BR2" i="52"/>
  <c r="BR10" i="52" l="1"/>
  <c r="BS2" i="52"/>
  <c r="BS10" i="52" l="1"/>
  <c r="BT2" i="52"/>
  <c r="BT10" i="52" l="1"/>
  <c r="BU2" i="52"/>
  <c r="BV2" i="52" l="1"/>
  <c r="BU10" i="52"/>
  <c r="BW2" i="52" l="1"/>
  <c r="BV10" i="52"/>
  <c r="BW10" i="52" l="1"/>
  <c r="BX2" i="52"/>
  <c r="BX10" i="52" l="1"/>
  <c r="BY2" i="52"/>
  <c r="BY10" i="52" l="1"/>
  <c r="BZ2" i="52"/>
  <c r="BZ10" i="52" l="1"/>
  <c r="CA2" i="52"/>
  <c r="CA10" i="52" l="1"/>
  <c r="CB2" i="52"/>
  <c r="CB10" i="52" l="1"/>
  <c r="CC2" i="52"/>
  <c r="CD2" i="52" l="1"/>
  <c r="CC10" i="52"/>
  <c r="CD10" i="52" l="1"/>
  <c r="CE2" i="52"/>
  <c r="CE10" i="52" l="1"/>
  <c r="CF2" i="52"/>
  <c r="CF10" i="52" l="1"/>
  <c r="CG2" i="52"/>
  <c r="CG10" i="52" l="1"/>
  <c r="CH2" i="52"/>
  <c r="CH10" i="52" l="1"/>
  <c r="CI2" i="52"/>
  <c r="CI10" i="52" l="1"/>
  <c r="CJ2" i="52"/>
  <c r="CJ10" i="52" l="1"/>
  <c r="CK2" i="52"/>
  <c r="CL2" i="52" l="1"/>
  <c r="CK10" i="52"/>
  <c r="CL10" i="52" l="1"/>
  <c r="CM2" i="52"/>
  <c r="CM10" i="52" l="1"/>
  <c r="CN2" i="52"/>
  <c r="CN10" i="52" l="1"/>
  <c r="CO2" i="52"/>
  <c r="CO10" i="52" l="1"/>
  <c r="CP2" i="52"/>
  <c r="CP10" i="52" l="1"/>
  <c r="CQ2" i="52"/>
  <c r="CQ10" i="52" l="1"/>
  <c r="CR2" i="52"/>
  <c r="CR10" i="52" l="1"/>
  <c r="CS2" i="52"/>
  <c r="CT2" i="52" l="1"/>
  <c r="CS10" i="52"/>
  <c r="CT10" i="52" l="1"/>
  <c r="CU2" i="52"/>
  <c r="CU10" i="52" l="1"/>
  <c r="CV2" i="52"/>
  <c r="CV10" i="52" l="1"/>
  <c r="CW2" i="52"/>
  <c r="CW10" i="52" l="1"/>
  <c r="CX2" i="52"/>
  <c r="CX10" i="52" l="1"/>
  <c r="CY2" i="52"/>
  <c r="CY10" i="52" l="1"/>
  <c r="CZ2" i="52"/>
  <c r="CZ10" i="52" l="1"/>
  <c r="DA2" i="52"/>
  <c r="DB2" i="52" l="1"/>
  <c r="DA10" i="52"/>
  <c r="DC2" i="52" l="1"/>
  <c r="DD2" i="52" l="1"/>
  <c r="DE2" i="52" l="1"/>
  <c r="DF2" i="52" l="1"/>
  <c r="DG2" i="52" l="1"/>
  <c r="DH2" i="52" l="1"/>
  <c r="DI2" i="52" l="1"/>
  <c r="DJ2" i="52" l="1"/>
  <c r="DK2" i="52" l="1"/>
  <c r="DL2" i="52" l="1"/>
  <c r="DM2" i="52" l="1"/>
  <c r="DN2" i="52" l="1"/>
  <c r="DO2" i="52" l="1"/>
  <c r="DP2" i="52" l="1"/>
  <c r="DQ2" i="52" l="1"/>
  <c r="DR2" i="52" l="1"/>
  <c r="DS2" i="52" l="1"/>
  <c r="DT2" i="52" l="1"/>
  <c r="DU2" i="52" l="1"/>
  <c r="DV2" i="52" l="1"/>
  <c r="DW2" i="52" l="1"/>
  <c r="DX2" i="52" l="1"/>
  <c r="DY2" i="52" l="1"/>
  <c r="DZ2" i="52" l="1"/>
  <c r="EA2" i="52" l="1"/>
  <c r="EB2" i="52" l="1"/>
  <c r="EC2" i="52" l="1"/>
  <c r="ED2" i="52" l="1"/>
  <c r="EE2" i="52" l="1"/>
  <c r="EF2" i="52" l="1"/>
  <c r="EG2" i="52" l="1"/>
  <c r="EH2" i="52" l="1"/>
  <c r="EI2" i="52" l="1"/>
  <c r="EJ2" i="52" l="1"/>
  <c r="EK2" i="52" l="1"/>
  <c r="EL2" i="52" l="1"/>
  <c r="EM2" i="52" l="1"/>
  <c r="EN2" i="52" l="1"/>
  <c r="EO2" i="52" l="1"/>
  <c r="EP2" i="52" l="1"/>
  <c r="EQ2" i="52" l="1"/>
  <c r="ER2" i="52" l="1"/>
  <c r="ES2" i="52" l="1"/>
  <c r="ET2" i="52" l="1"/>
  <c r="EU2" i="52" l="1"/>
  <c r="EV2" i="52" l="1"/>
  <c r="EW2" i="52" l="1"/>
  <c r="EX2" i="52" l="1"/>
  <c r="EY2" i="52" l="1"/>
  <c r="EZ2" i="52" l="1"/>
  <c r="FA2" i="52" l="1"/>
  <c r="FB2" i="52" l="1"/>
  <c r="FC2" i="52" l="1"/>
  <c r="FD2" i="52" l="1"/>
  <c r="FE2" i="52" l="1"/>
  <c r="FF2" i="52" l="1"/>
  <c r="FG2" i="52" l="1"/>
  <c r="FH2" i="52" l="1"/>
  <c r="FI2" i="52" l="1"/>
  <c r="FJ2" i="52" l="1"/>
  <c r="FK2" i="52" l="1"/>
  <c r="FL2" i="52" l="1"/>
  <c r="FM2" i="52" l="1"/>
  <c r="FN2" i="52" l="1"/>
  <c r="FO2" i="52" l="1"/>
  <c r="FP2" i="52" l="1"/>
  <c r="FQ2" i="52" l="1"/>
  <c r="FR2" i="52" l="1"/>
  <c r="FS2" i="52" l="1"/>
  <c r="FT2" i="52" l="1"/>
  <c r="FU2" i="52" l="1"/>
  <c r="FV2" i="52" l="1"/>
  <c r="FW2" i="52" l="1"/>
  <c r="FX2" i="52" l="1"/>
  <c r="FY2" i="52" l="1"/>
  <c r="FZ2" i="52" l="1"/>
  <c r="GA2" i="52" l="1"/>
  <c r="GB2" i="52" l="1"/>
  <c r="GC2" i="52" l="1"/>
  <c r="GD2" i="52" l="1"/>
  <c r="GE2" i="52" l="1"/>
  <c r="GF2" i="52" l="1"/>
  <c r="GG2" i="52" l="1"/>
  <c r="GH2" i="52" l="1"/>
  <c r="GI2" i="52" l="1"/>
  <c r="GJ2" i="52" l="1"/>
  <c r="GK2" i="52" l="1"/>
  <c r="GL2" i="52" l="1"/>
  <c r="GM2" i="52" l="1"/>
  <c r="GN2" i="52" l="1"/>
  <c r="GO2" i="52" l="1"/>
  <c r="GP2" i="52" l="1"/>
  <c r="GQ2" i="52" l="1"/>
  <c r="GR2" i="52" l="1"/>
  <c r="GS2" i="52" l="1"/>
  <c r="GT2" i="52" l="1"/>
  <c r="GU2" i="52" l="1"/>
  <c r="GV2" i="52" l="1"/>
  <c r="GW2" i="52" l="1"/>
  <c r="GX2" i="52" l="1"/>
  <c r="GY2" i="52" l="1"/>
  <c r="GZ2" i="52" l="1"/>
  <c r="HA2" i="52" l="1"/>
  <c r="HB2" i="52" l="1"/>
  <c r="HC2" i="52" l="1"/>
  <c r="HD2" i="52" l="1"/>
  <c r="HE2" i="52" l="1"/>
  <c r="HF2" i="52" l="1"/>
  <c r="HG2" i="52" l="1"/>
  <c r="HH2" i="52" l="1"/>
  <c r="HI2" i="52" l="1"/>
  <c r="HJ2" i="52" l="1"/>
  <c r="HK2" i="52" l="1"/>
  <c r="HL2" i="52" l="1"/>
  <c r="HM2" i="52" l="1"/>
  <c r="HN2" i="52" l="1"/>
  <c r="HO2" i="52" l="1"/>
  <c r="HP2" i="52" l="1"/>
  <c r="HQ2" i="52" l="1"/>
  <c r="HR2" i="52" l="1"/>
  <c r="HS2" i="52" l="1"/>
  <c r="HT2" i="52" l="1"/>
  <c r="HU2" i="52" l="1"/>
  <c r="HV2" i="52" l="1"/>
  <c r="HW2" i="52" l="1"/>
  <c r="HX2" i="52" l="1"/>
  <c r="HY2" i="52" l="1"/>
  <c r="HZ2" i="52" l="1"/>
  <c r="IA2" i="52" l="1"/>
  <c r="F128" i="160" l="1"/>
  <c r="F130" i="160" l="1"/>
</calcChain>
</file>

<file path=xl/sharedStrings.xml><?xml version="1.0" encoding="utf-8"?>
<sst xmlns="http://schemas.openxmlformats.org/spreadsheetml/2006/main" count="119" uniqueCount="96">
  <si>
    <t>OK</t>
  </si>
  <si>
    <t>KO</t>
  </si>
  <si>
    <t>Objectif</t>
  </si>
  <si>
    <t>Défauts</t>
  </si>
  <si>
    <t>Tests</t>
  </si>
  <si>
    <t>Non Testable</t>
  </si>
  <si>
    <t>Exécuté</t>
  </si>
  <si>
    <t>TOTAL</t>
  </si>
  <si>
    <t>Non Exécuté</t>
  </si>
  <si>
    <t>Majeures</t>
  </si>
  <si>
    <t>Mineures</t>
  </si>
  <si>
    <t>A préparer</t>
  </si>
  <si>
    <t>Préparé</t>
  </si>
  <si>
    <t>A exécuter</t>
  </si>
  <si>
    <t>% OK</t>
  </si>
  <si>
    <t>% KO</t>
  </si>
  <si>
    <t>% Non Testable</t>
  </si>
  <si>
    <t>% Non Exécuté</t>
  </si>
  <si>
    <t>Préparé %</t>
  </si>
  <si>
    <t>Exécuté %</t>
  </si>
  <si>
    <t>A exécuter %</t>
  </si>
  <si>
    <t>A préparer %</t>
  </si>
  <si>
    <t>Exigences</t>
  </si>
  <si>
    <t>Taille</t>
  </si>
  <si>
    <t>Conformes</t>
  </si>
  <si>
    <t>Non conformes</t>
  </si>
  <si>
    <t>NB Bogues créés</t>
  </si>
  <si>
    <t>Report des notes entre séances plénière, causcus, bureau, commission</t>
  </si>
  <si>
    <t>Annonces</t>
  </si>
  <si>
    <t>OJ</t>
  </si>
  <si>
    <t>Instabilité non reproductible lors des imports : risque perte de données ou d'ordre des points de l'OJ</t>
  </si>
  <si>
    <t>Suivi</t>
  </si>
  <si>
    <t xml:space="preserve">Gérer les décisions des annonces, des points et des commentaires </t>
  </si>
  <si>
    <t>Commission</t>
  </si>
  <si>
    <t>Rôles des participants, attendu des utilisateurs peut changer : création des tâches, saisie des décisions, informations à tracer dans un PV de commission</t>
  </si>
  <si>
    <t xml:space="preserve">Préparation </t>
  </si>
  <si>
    <t>Bureau</t>
  </si>
  <si>
    <t>Caucus</t>
  </si>
  <si>
    <t>Le spécifié fonctionne mais risque de demande d'évolution</t>
  </si>
  <si>
    <t>Annoncer et décider un objet dans la même session, modification de la liste des décisions suite au changement de rubrique</t>
  </si>
  <si>
    <t xml:space="preserve">Changements à venir dans le périmètre fonctionnel + qq Tickets aléatoires </t>
  </si>
  <si>
    <t xml:space="preserve">Régréssion </t>
  </si>
  <si>
    <t>Renvoyer  des objets annoncés en CA</t>
  </si>
  <si>
    <t>Renvoye des objets annoncé en commission</t>
  </si>
  <si>
    <t>Traiter un objet</t>
  </si>
  <si>
    <t>Cadencement manuel</t>
  </si>
  <si>
    <t>Cadencement automatique</t>
  </si>
  <si>
    <t>Affichage dans le PV des objets annoncés et non décidés</t>
  </si>
  <si>
    <t>Confidentialité : Les objets non annoncés sont accessibles aux non auteurs</t>
  </si>
  <si>
    <t>Tests bloqués</t>
  </si>
  <si>
    <t>Traitement des objets en Séance de commission</t>
  </si>
  <si>
    <t>Traitement des tâches de commission</t>
  </si>
  <si>
    <t>Traitement des objets renvoyés au CA</t>
  </si>
  <si>
    <t>Import</t>
  </si>
  <si>
    <t>La liste des séances source contient des séances non archivées</t>
  </si>
  <si>
    <t xml:space="preserve">Le système contient plus de fonctions </t>
  </si>
  <si>
    <t>Mais fonctionne moins bien</t>
  </si>
  <si>
    <t>Explication potentielle : Ajout de nouvelles fonctions importante sans être couvertes par les tests automatisés</t>
  </si>
  <si>
    <t>Fonctions ajoutées</t>
  </si>
  <si>
    <t>Amélioration  pour annoncer un objet et le décider lors de la même session</t>
  </si>
  <si>
    <t>Déplacer les objets entre rubriques</t>
  </si>
  <si>
    <t>MAJ des décisions</t>
  </si>
  <si>
    <t>MAJ des routages KO</t>
  </si>
  <si>
    <t>Roles et accès des participants</t>
  </si>
  <si>
    <t>Président ne peut modiier l'ordre du jour</t>
  </si>
  <si>
    <t>Points OJ</t>
  </si>
  <si>
    <t>Décision sans routage</t>
  </si>
  <si>
    <t>Commentaires</t>
  </si>
  <si>
    <t>Sans décision ni routage</t>
  </si>
  <si>
    <t>Confidentialité</t>
  </si>
  <si>
    <t>PV</t>
  </si>
  <si>
    <t>Onglet Décision</t>
  </si>
  <si>
    <t>Onglet Ordre du jour</t>
  </si>
  <si>
    <t>objets non annoncés sont visibles</t>
  </si>
  <si>
    <t>objets annoncés ne sont pas visibles</t>
  </si>
  <si>
    <t>CM et CA peuvent voir des objets non annoncés</t>
  </si>
  <si>
    <t>Renvoi en commission</t>
  </si>
  <si>
    <t>Renvoi au CA</t>
  </si>
  <si>
    <t>3.4</t>
  </si>
  <si>
    <t xml:space="preserve">Testé </t>
  </si>
  <si>
    <t>A tester</t>
  </si>
  <si>
    <t>Modules</t>
  </si>
  <si>
    <t>Toutes les exigences</t>
  </si>
  <si>
    <t>AVANCEMENT GLOBAL DES TESTS (PROJET)</t>
  </si>
  <si>
    <t>AVANCEMENT DES TESTS PAR EXIGENCE</t>
  </si>
  <si>
    <t>PERIMETRE DU PROJET</t>
  </si>
  <si>
    <t>Pourcentage</t>
  </si>
  <si>
    <t>NB</t>
  </si>
  <si>
    <t>Bloquantes</t>
  </si>
  <si>
    <t>AVANCEMENT DE LA CONFORMITE GLOBALE (QUALITE)</t>
  </si>
  <si>
    <t>Etiquette</t>
  </si>
  <si>
    <t>Conformité</t>
  </si>
  <si>
    <t>Dessin</t>
  </si>
  <si>
    <t>Sprint 1</t>
  </si>
  <si>
    <t>US-08 Traiter une demande de réservation (P2)</t>
  </si>
  <si>
    <t>US-07 Faire une demande de réservation (P1)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</si>
</sst>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9" fontId="0" fillId="0" borderId="0" xfId="2" applyFont="1"/>
    <xf numFmtId="0" fontId="0" fillId="0" borderId="0" xfId="2" applyNumberFormat="1" applyFont="1"/>
    <xf numFmtId="1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1" xfId="0" applyBorder="1"/>
    <xf numFmtId="0" fontId="0" fillId="0" borderId="3" xfId="0" applyBorder="1"/>
    <xf numFmtId="165" fontId="2" fillId="0" borderId="0" xfId="0" applyNumberFormat="1" applyFont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9" fontId="0" fillId="3" borderId="0" xfId="2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" fontId="0" fillId="3" borderId="0" xfId="0" applyNumberFormat="1" applyFill="1"/>
    <xf numFmtId="0" fontId="2" fillId="3" borderId="0" xfId="2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3" borderId="0" xfId="2" applyFont="1" applyFill="1"/>
    <xf numFmtId="9" fontId="0" fillId="3" borderId="0" xfId="0" applyNumberFormat="1" applyFill="1"/>
    <xf numFmtId="0" fontId="0" fillId="0" borderId="7" xfId="2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2" applyNumberFormat="1" applyFont="1" applyAlignment="1">
      <alignment horizontal="center" vertical="center"/>
    </xf>
    <xf numFmtId="0" fontId="0" fillId="6" borderId="0" xfId="0" applyFill="1"/>
    <xf numFmtId="0" fontId="0" fillId="3" borderId="2" xfId="0" applyFill="1" applyBorder="1" applyAlignment="1">
      <alignment horizontal="center" vertical="center"/>
    </xf>
    <xf numFmtId="0" fontId="6" fillId="0" borderId="0" xfId="0" applyFont="1"/>
    <xf numFmtId="1" fontId="6" fillId="0" borderId="2" xfId="2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2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2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9" fontId="6" fillId="0" borderId="5" xfId="2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0" fillId="0" borderId="9" xfId="0" applyBorder="1"/>
    <xf numFmtId="9" fontId="0" fillId="7" borderId="4" xfId="0" applyNumberForma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9" fontId="0" fillId="9" borderId="5" xfId="2" applyFont="1" applyFill="1" applyBorder="1" applyAlignment="1">
      <alignment horizontal="center" vertical="center"/>
    </xf>
    <xf numFmtId="0" fontId="0" fillId="9" borderId="2" xfId="0" applyFill="1" applyBorder="1"/>
    <xf numFmtId="9" fontId="0" fillId="0" borderId="5" xfId="0" applyNumberFormat="1" applyBorder="1" applyAlignment="1">
      <alignment horizontal="center" vertical="center"/>
    </xf>
    <xf numFmtId="9" fontId="0" fillId="10" borderId="6" xfId="0" applyNumberFormat="1" applyFill="1" applyBorder="1" applyAlignment="1">
      <alignment horizontal="center" vertical="center"/>
    </xf>
    <xf numFmtId="9" fontId="4" fillId="0" borderId="0" xfId="2" applyFont="1" applyFill="1" applyAlignment="1">
      <alignment horizontal="center" vertical="center"/>
    </xf>
    <xf numFmtId="0" fontId="8" fillId="3" borderId="0" xfId="2" applyNumberFormat="1" applyFont="1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" xfId="2" builtinId="5"/>
  </cellStyles>
  <dxfs count="3"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  <color theme="0"/>
      </font>
      <fill>
        <patternFill patternType="none">
          <fgColor auto="1"/>
          <bgColor auto="1"/>
        </patternFill>
      </fill>
    </dxf>
  </dxfs>
  <tableStyles count="0" defaultTableStyle="TableStyleMedium2" defaultPivotStyle="PivotStyleLight16"/>
  <colors>
    <mruColors>
      <color rgb="FF00B050"/>
      <color rgb="FF92D050"/>
      <color rgb="FFFF9900"/>
      <color rgb="FF86AE2C"/>
      <color rgb="FF66FF33"/>
      <color rgb="FFCC7900"/>
      <color rgb="FF99FF33"/>
      <color rgb="FF00B0F0"/>
      <color rgb="FFA3AD1B"/>
      <color rgb="FFD0D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3"/>
          <c:tx>
            <c:strRef>
              <c:f>'Données '!$O$45</c:f>
              <c:strCache>
                <c:ptCount val="1"/>
                <c:pt idx="0">
                  <c:v>% OK</c:v>
                </c:pt>
              </c:strCache>
            </c:strRef>
          </c:tx>
          <c:spPr>
            <a:solidFill>
              <a:srgbClr val="86AE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'!$O$46:$O$66</c:f>
              <c:numCache>
                <c:formatCode>0%</c:formatCode>
                <c:ptCount val="21"/>
                <c:pt idx="0">
                  <c:v>0.83333333333333337</c:v>
                </c:pt>
                <c:pt idx="1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E-4715-9810-AC3C87680827}"/>
            </c:ext>
          </c:extLst>
        </c:ser>
        <c:ser>
          <c:idx val="4"/>
          <c:order val="4"/>
          <c:tx>
            <c:strRef>
              <c:f>'Données '!$P$45</c:f>
              <c:strCache>
                <c:ptCount val="1"/>
                <c:pt idx="0">
                  <c:v>% KO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'!$P$46:$P$66</c:f>
              <c:numCache>
                <c:formatCode>0%</c:formatCode>
                <c:ptCount val="21"/>
                <c:pt idx="0">
                  <c:v>0.16666666666666666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E-4715-9810-AC3C87680827}"/>
            </c:ext>
          </c:extLst>
        </c:ser>
        <c:ser>
          <c:idx val="5"/>
          <c:order val="5"/>
          <c:tx>
            <c:strRef>
              <c:f>'Données '!$Q$45</c:f>
              <c:strCache>
                <c:ptCount val="1"/>
                <c:pt idx="0">
                  <c:v>% Non Testable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'!$Q$46:$Q$66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E-4715-9810-AC3C87680827}"/>
            </c:ext>
          </c:extLst>
        </c:ser>
        <c:ser>
          <c:idx val="6"/>
          <c:order val="6"/>
          <c:tx>
            <c:strRef>
              <c:f>'Données '!$R$45</c:f>
              <c:strCache>
                <c:ptCount val="1"/>
                <c:pt idx="0">
                  <c:v>% Non Exécuté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'!$R$46:$R$66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E-4715-9810-AC3C876808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355825112"/>
        <c:axId val="355822760"/>
      </c:barChart>
      <c:barChart>
        <c:barDir val="col"/>
        <c:grouping val="clustered"/>
        <c:varyColors val="0"/>
        <c:ser>
          <c:idx val="0"/>
          <c:order val="0"/>
          <c:tx>
            <c:strRef>
              <c:f>'Données '!$K$45</c:f>
              <c:strCache>
                <c:ptCount val="1"/>
                <c:pt idx="0">
                  <c:v>Bloquantes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'!$K$46:$K$66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BE-4715-9810-AC3C87680827}"/>
            </c:ext>
          </c:extLst>
        </c:ser>
        <c:ser>
          <c:idx val="1"/>
          <c:order val="1"/>
          <c:tx>
            <c:strRef>
              <c:f>'Données '!$L$45</c:f>
              <c:strCache>
                <c:ptCount val="1"/>
                <c:pt idx="0">
                  <c:v>Majeures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'!$L$46:$L$66</c:f>
              <c:numCache>
                <c:formatCode>General</c:formatCode>
                <c:ptCount val="21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BE-4715-9810-AC3C87680827}"/>
            </c:ext>
          </c:extLst>
        </c:ser>
        <c:ser>
          <c:idx val="2"/>
          <c:order val="2"/>
          <c:tx>
            <c:strRef>
              <c:f>'Données '!$M$45</c:f>
              <c:strCache>
                <c:ptCount val="1"/>
                <c:pt idx="0">
                  <c:v>Mineures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'!$M$46:$M$66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BE-4715-9810-AC3C876808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87"/>
        <c:overlap val="-27"/>
        <c:axId val="355821584"/>
        <c:axId val="355821192"/>
      </c:barChart>
      <c:lineChart>
        <c:grouping val="standard"/>
        <c:varyColors val="0"/>
        <c:ser>
          <c:idx val="7"/>
          <c:order val="7"/>
          <c:tx>
            <c:strRef>
              <c:f>'Données '!$N$45</c:f>
              <c:strCache>
                <c:ptCount val="1"/>
                <c:pt idx="0">
                  <c:v>Objectif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9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'!$N$46:$N$66</c:f>
              <c:numCache>
                <c:formatCode>0%</c:formatCode>
                <c:ptCount val="21"/>
                <c:pt idx="0">
                  <c:v>1</c:v>
                </c:pt>
                <c:pt idx="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80-4C3B-9CE9-693EAAF452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5825112"/>
        <c:axId val="355822760"/>
      </c:lineChart>
      <c:catAx>
        <c:axId val="35582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2760"/>
        <c:crosses val="autoZero"/>
        <c:auto val="1"/>
        <c:lblAlgn val="ctr"/>
        <c:lblOffset val="100"/>
        <c:noMultiLvlLbl val="0"/>
      </c:catAx>
      <c:valAx>
        <c:axId val="35582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5112"/>
        <c:crosses val="autoZero"/>
        <c:crossBetween val="between"/>
      </c:valAx>
      <c:valAx>
        <c:axId val="355821192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1584"/>
        <c:crosses val="max"/>
        <c:crossBetween val="between"/>
      </c:valAx>
      <c:catAx>
        <c:axId val="355821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5821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LA CONFORMITE ACTUELLE DU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'Données '!$D$107</c:f>
              <c:strCache>
                <c:ptCount val="1"/>
                <c:pt idx="0">
                  <c:v>Conformes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8E-4328-8281-D5A0A8C2ED1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8E-4328-8281-D5A0A8C2ED14}"/>
              </c:ext>
            </c:extLst>
          </c:dPt>
          <c:dLbls>
            <c:dLbl>
              <c:idx val="1"/>
              <c:layout>
                <c:manualLayout>
                  <c:x val="0.16182949346371697"/>
                  <c:y val="-6.94071349161099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8E-4328-8281-D5A0A8C2ED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'Données '!$D$107:$D$108</c:f>
              <c:strCache>
                <c:ptCount val="2"/>
                <c:pt idx="0">
                  <c:v>Conformes</c:v>
                </c:pt>
                <c:pt idx="1">
                  <c:v>Non conformes</c:v>
                </c:pt>
              </c:strCache>
            </c:strRef>
          </c:cat>
          <c:val>
            <c:numRef>
              <c:f>'Données '!$F$107:$F$108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E-4328-8281-D5A0A8C2ED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AVANCEMENT DES TESTS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5-4656-8D10-CCD8B568EA39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A5-4656-8D10-CCD8B568EA39}"/>
              </c:ext>
            </c:extLst>
          </c:dPt>
          <c:dPt>
            <c:idx val="2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D2-4A90-8306-ED1E891EFD0F}"/>
              </c:ext>
            </c:extLst>
          </c:dPt>
          <c:dLbls>
            <c:dLbl>
              <c:idx val="1"/>
              <c:layout>
                <c:manualLayout>
                  <c:x val="-0.10333694177542227"/>
                  <c:y val="-3.217737588432360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17288B-27A1-4331-A549-DF3E25C23B0C}" type="CELLREF"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[REFCELL]</a:t>
                    </a:fld>
                    <a:endParaRPr lang="en-US" sz="9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>
                        <a:solidFill>
                          <a:sysClr val="windowText" lastClr="000000"/>
                        </a:solidFill>
                      </a:rPr>
                      <a:t> </a:t>
                    </a:r>
                    <a:fld id="{439FAC89-1690-473D-9E5D-F0879137BE7D}" type="CELLREF">
                      <a:rPr lang="en-US">
                        <a:solidFill>
                          <a:sysClr val="windowText" lastClr="000000"/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[REFCELL]</a:t>
                    </a:fld>
                    <a:endParaRPr 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620676487771825"/>
                      <c:h val="0.12919849830467034"/>
                    </c:manualLayout>
                  </c15:layout>
                  <c15:dlblFieldTable>
                    <c15:dlblFTEntry>
                      <c15:txfldGUID>{F417288B-27A1-4331-A549-DF3E25C23B0C}</c15:txfldGUID>
                      <c15:f>'Données '!$D$127</c15:f>
                      <c15:dlblFieldTableCache>
                        <c:ptCount val="1"/>
                        <c:pt idx="0">
                          <c:v>Testé </c:v>
                        </c:pt>
                      </c15:dlblFieldTableCache>
                    </c15:dlblFTEntry>
                    <c15:dlblFTEntry>
                      <c15:txfldGUID>{439FAC89-1690-473D-9E5D-F0879137BE7D}</c15:txfldGUID>
                      <c15:f>'Données '!$F$127</c15:f>
                      <c15:dlblFieldTableCache>
                        <c:ptCount val="1"/>
                        <c:pt idx="0">
                          <c:v>100%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DA5-4656-8D10-CCD8B568EA39}"/>
                </c:ext>
              </c:extLst>
            </c:dLbl>
            <c:dLbl>
              <c:idx val="2"/>
              <c:layout>
                <c:manualLayout>
                  <c:x val="-1.4554482700450153E-2"/>
                  <c:y val="-9.65320970806324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D2-4A90-8306-ED1E891EFD0F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'Données '!$D$126:$D$129</c15:sqref>
                  </c15:fullRef>
                </c:ext>
              </c:extLst>
              <c:f>('Données '!$D$126,'Données '!$D$128:$D$129)</c:f>
              <c:strCache>
                <c:ptCount val="3"/>
                <c:pt idx="0">
                  <c:v>OK</c:v>
                </c:pt>
                <c:pt idx="1">
                  <c:v>Testé </c:v>
                </c:pt>
                <c:pt idx="2">
                  <c:v>A tester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'Données '!$F$126:$F$129</c15:sqref>
                  </c15:fullRef>
                </c:ext>
              </c:extLst>
              <c:f>('Données '!$F$126,'Données '!$F$128:$F$129)</c:f>
              <c:numCache>
                <c:formatCode>0%</c:formatCode>
                <c:ptCount val="3"/>
                <c:pt idx="0">
                  <c:v>0.84375</c:v>
                </c:pt>
                <c:pt idx="1">
                  <c:v>0.15625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9DA5-4656-8D10-CCD8B568E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'Données '!$D$107</c:f>
              <c:strCache>
                <c:ptCount val="1"/>
                <c:pt idx="0">
                  <c:v>Conformes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A-4652-BE9E-E5565419E8C8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A-4652-BE9E-E5565419E8C8}"/>
              </c:ext>
            </c:extLst>
          </c:dPt>
          <c:dLbls>
            <c:dLbl>
              <c:idx val="0"/>
              <c:layout>
                <c:manualLayout>
                  <c:x val="-0.18460747604541822"/>
                  <c:y val="0.134597916965232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6A-4652-BE9E-E5565419E8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'Données '!$D$107:$D$108</c:f>
              <c:strCache>
                <c:ptCount val="2"/>
                <c:pt idx="0">
                  <c:v>Conformes</c:v>
                </c:pt>
                <c:pt idx="1">
                  <c:v>Non conformes</c:v>
                </c:pt>
              </c:strCache>
            </c:strRef>
          </c:cat>
          <c:val>
            <c:numRef>
              <c:f>'Données '!$F$107:$F$108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6A-4652-BE9E-E5565419E8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3"/>
          <c:tx>
            <c:strRef>
              <c:f>'Données '!$O$45</c:f>
              <c:strCache>
                <c:ptCount val="1"/>
                <c:pt idx="0">
                  <c:v>% OK</c:v>
                </c:pt>
              </c:strCache>
            </c:strRef>
          </c:tx>
          <c:spPr>
            <a:solidFill>
              <a:srgbClr val="86AE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'!$O$46:$O$66</c:f>
              <c:numCache>
                <c:formatCode>0%</c:formatCode>
                <c:ptCount val="21"/>
                <c:pt idx="0">
                  <c:v>0.83333333333333337</c:v>
                </c:pt>
                <c:pt idx="1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E-41D4-9E45-8AE856AC2CF0}"/>
            </c:ext>
          </c:extLst>
        </c:ser>
        <c:ser>
          <c:idx val="4"/>
          <c:order val="4"/>
          <c:tx>
            <c:strRef>
              <c:f>'Données '!$P$45</c:f>
              <c:strCache>
                <c:ptCount val="1"/>
                <c:pt idx="0">
                  <c:v>% KO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'!$P$46:$P$66</c:f>
              <c:numCache>
                <c:formatCode>0%</c:formatCode>
                <c:ptCount val="21"/>
                <c:pt idx="0">
                  <c:v>0.16666666666666666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E-41D4-9E45-8AE856AC2CF0}"/>
            </c:ext>
          </c:extLst>
        </c:ser>
        <c:ser>
          <c:idx val="5"/>
          <c:order val="5"/>
          <c:tx>
            <c:strRef>
              <c:f>'Données '!$Q$45</c:f>
              <c:strCache>
                <c:ptCount val="1"/>
                <c:pt idx="0">
                  <c:v>% Non Testable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'!$Q$46:$Q$66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E-41D4-9E45-8AE856AC2CF0}"/>
            </c:ext>
          </c:extLst>
        </c:ser>
        <c:ser>
          <c:idx val="6"/>
          <c:order val="6"/>
          <c:tx>
            <c:strRef>
              <c:f>'Données '!$R$45</c:f>
              <c:strCache>
                <c:ptCount val="1"/>
                <c:pt idx="0">
                  <c:v>% Non Exécuté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'!$R$46:$R$66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DE-41D4-9E45-8AE856AC2C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355825112"/>
        <c:axId val="355822760"/>
      </c:barChart>
      <c:barChart>
        <c:barDir val="col"/>
        <c:grouping val="clustered"/>
        <c:varyColors val="0"/>
        <c:ser>
          <c:idx val="0"/>
          <c:order val="0"/>
          <c:tx>
            <c:strRef>
              <c:f>'Données '!$K$45</c:f>
              <c:strCache>
                <c:ptCount val="1"/>
                <c:pt idx="0">
                  <c:v>Bloquantes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'!$K$46:$K$66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DE-41D4-9E45-8AE856AC2CF0}"/>
            </c:ext>
          </c:extLst>
        </c:ser>
        <c:ser>
          <c:idx val="1"/>
          <c:order val="1"/>
          <c:tx>
            <c:strRef>
              <c:f>'Données '!$L$45</c:f>
              <c:strCache>
                <c:ptCount val="1"/>
                <c:pt idx="0">
                  <c:v>Majeures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'!$L$46:$L$66</c:f>
              <c:numCache>
                <c:formatCode>General</c:formatCode>
                <c:ptCount val="21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DE-41D4-9E45-8AE856AC2CF0}"/>
            </c:ext>
          </c:extLst>
        </c:ser>
        <c:ser>
          <c:idx val="2"/>
          <c:order val="2"/>
          <c:tx>
            <c:strRef>
              <c:f>'Données '!$M$45</c:f>
              <c:strCache>
                <c:ptCount val="1"/>
                <c:pt idx="0">
                  <c:v>Mineures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'!$M$46:$M$66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E-41D4-9E45-8AE856AC2C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87"/>
        <c:overlap val="-27"/>
        <c:axId val="355821584"/>
        <c:axId val="355821192"/>
      </c:barChart>
      <c:lineChart>
        <c:grouping val="standard"/>
        <c:varyColors val="0"/>
        <c:ser>
          <c:idx val="7"/>
          <c:order val="7"/>
          <c:tx>
            <c:strRef>
              <c:f>'Données '!$N$45</c:f>
              <c:strCache>
                <c:ptCount val="1"/>
                <c:pt idx="0">
                  <c:v>Objectif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9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'!$N$46:$N$66</c:f>
              <c:numCache>
                <c:formatCode>0%</c:formatCode>
                <c:ptCount val="21"/>
                <c:pt idx="0">
                  <c:v>1</c:v>
                </c:pt>
                <c:pt idx="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DE-41D4-9E45-8AE856AC2C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5825112"/>
        <c:axId val="355822760"/>
      </c:lineChart>
      <c:catAx>
        <c:axId val="35582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2760"/>
        <c:crosses val="autoZero"/>
        <c:auto val="1"/>
        <c:lblAlgn val="ctr"/>
        <c:lblOffset val="100"/>
        <c:noMultiLvlLbl val="0"/>
      </c:catAx>
      <c:valAx>
        <c:axId val="35582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5112"/>
        <c:crosses val="autoZero"/>
        <c:crossBetween val="between"/>
      </c:valAx>
      <c:valAx>
        <c:axId val="355821192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1584"/>
        <c:crosses val="max"/>
        <c:crossBetween val="between"/>
      </c:valAx>
      <c:catAx>
        <c:axId val="355821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5821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A4-44CB-A603-C0846B0AA127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A4-44CB-A603-C0846B0AA127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A4-44CB-A603-C0846B0AA127}"/>
              </c:ext>
            </c:extLst>
          </c:dPt>
          <c:dLbls>
            <c:dLbl>
              <c:idx val="1"/>
              <c:layout>
                <c:manualLayout>
                  <c:x val="-0.13468548569964206"/>
                  <c:y val="4.155289029950458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6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17288B-27A1-4331-A549-DF3E25C23B0C}" type="CELLREF">
                      <a:rPr lang="en-US" sz="1600" b="0" i="0" u="none" strike="noStrike" kern="1200" baseline="0">
                        <a:solidFill>
                          <a:sysClr val="windowText" lastClr="000000"/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600">
                          <a:solidFill>
                            <a:sysClr val="windowText" lastClr="000000"/>
                          </a:solidFill>
                        </a:defRPr>
                      </a:pPr>
                      <a:t>[REFCELL]</a:t>
                    </a:fld>
                    <a:endParaRPr lang="en-US" sz="16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600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600">
                        <a:solidFill>
                          <a:sysClr val="windowText" lastClr="000000"/>
                        </a:solidFill>
                      </a:rPr>
                      <a:t> </a:t>
                    </a:r>
                    <a:fld id="{439FAC89-1690-473D-9E5D-F0879137BE7D}" type="CELLREF">
                      <a:rPr lang="en-US" sz="1600">
                        <a:solidFill>
                          <a:sysClr val="windowText" lastClr="000000"/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600">
                          <a:solidFill>
                            <a:sysClr val="windowText" lastClr="000000"/>
                          </a:solidFill>
                        </a:defRPr>
                      </a:pPr>
                      <a:t>[REFCELL]</a:t>
                    </a:fld>
                    <a:endParaRPr lang="en-US" sz="160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6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620676487771825"/>
                      <c:h val="0.12919849830467034"/>
                    </c:manualLayout>
                  </c15:layout>
                  <c15:dlblFieldTable>
                    <c15:dlblFTEntry>
                      <c15:txfldGUID>{F417288B-27A1-4331-A549-DF3E25C23B0C}</c15:txfldGUID>
                      <c15:f>'Données '!$D$127</c15:f>
                      <c15:dlblFieldTableCache>
                        <c:ptCount val="1"/>
                        <c:pt idx="0">
                          <c:v>Testé </c:v>
                        </c:pt>
                      </c15:dlblFieldTableCache>
                    </c15:dlblFTEntry>
                    <c15:dlblFTEntry>
                      <c15:txfldGUID>{439FAC89-1690-473D-9E5D-F0879137BE7D}</c15:txfldGUID>
                      <c15:f>'Données '!$F$127</c15:f>
                      <c15:dlblFieldTableCache>
                        <c:ptCount val="1"/>
                        <c:pt idx="0">
                          <c:v>100%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0A4-44CB-A603-C0846B0AA127}"/>
                </c:ext>
              </c:extLst>
            </c:dLbl>
            <c:dLbl>
              <c:idx val="2"/>
              <c:layout>
                <c:manualLayout>
                  <c:x val="-0.16417274761045472"/>
                  <c:y val="-9.65320934261328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A4-44CB-A603-C0846B0AA127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'Données '!$D$126:$D$129</c15:sqref>
                  </c15:fullRef>
                </c:ext>
              </c:extLst>
              <c:f>('Données '!$D$126,'Données '!$D$128:$D$129)</c:f>
              <c:strCache>
                <c:ptCount val="3"/>
                <c:pt idx="0">
                  <c:v>OK</c:v>
                </c:pt>
                <c:pt idx="1">
                  <c:v>Testé </c:v>
                </c:pt>
                <c:pt idx="2">
                  <c:v>A tester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'Données '!$F$126:$F$129</c15:sqref>
                  </c15:fullRef>
                </c:ext>
              </c:extLst>
              <c:f>('Données '!$F$126,'Données '!$F$128:$F$129)</c:f>
              <c:numCache>
                <c:formatCode>0%</c:formatCode>
                <c:ptCount val="3"/>
                <c:pt idx="0">
                  <c:v>0.84375</c:v>
                </c:pt>
                <c:pt idx="1">
                  <c:v>0.15625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D0A4-44CB-A603-C0846B0A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'Données '!$D$107</c:f>
              <c:strCache>
                <c:ptCount val="1"/>
                <c:pt idx="0">
                  <c:v>Conformes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35-4898-BF0A-14F032F864E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35-4898-BF0A-14F032F864EB}"/>
              </c:ext>
            </c:extLst>
          </c:dPt>
          <c:dLbls>
            <c:dLbl>
              <c:idx val="0"/>
              <c:layout>
                <c:manualLayout>
                  <c:x val="-0.105180156381411"/>
                  <c:y val="0.174286121177869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005141463150143"/>
                      <c:h val="0.221626745650538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B35-4898-BF0A-14F032F864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'Données '!$D$107:$D$108</c:f>
              <c:strCache>
                <c:ptCount val="2"/>
                <c:pt idx="0">
                  <c:v>Conformes</c:v>
                </c:pt>
                <c:pt idx="1">
                  <c:v>Non conformes</c:v>
                </c:pt>
              </c:strCache>
            </c:strRef>
          </c:cat>
          <c:val>
            <c:numRef>
              <c:f>'Données '!$F$107:$F$108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35-4898-BF0A-14F032F864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C6-4EFA-9129-BB739754D92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C6-4EFA-9129-BB739754D927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C6-4EFA-9129-BB739754D927}"/>
              </c:ext>
            </c:extLst>
          </c:dPt>
          <c:dLbls>
            <c:dLbl>
              <c:idx val="1"/>
              <c:layout>
                <c:manualLayout>
                  <c:x val="-0.10333694177542227"/>
                  <c:y val="-3.217737588432360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6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17288B-27A1-4331-A549-DF3E25C23B0C}" type="CELLREF">
                      <a:rPr lang="en-US" sz="1600" b="0" i="0" u="none" strike="noStrike" kern="1200" baseline="0">
                        <a:solidFill>
                          <a:sysClr val="windowText" lastClr="000000"/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600">
                          <a:solidFill>
                            <a:sysClr val="windowText" lastClr="000000"/>
                          </a:solidFill>
                        </a:defRPr>
                      </a:pPr>
                      <a:t>[REFCELL]</a:t>
                    </a:fld>
                    <a:endParaRPr lang="en-US" sz="16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600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600">
                        <a:solidFill>
                          <a:sysClr val="windowText" lastClr="000000"/>
                        </a:solidFill>
                      </a:rPr>
                      <a:t> </a:t>
                    </a:r>
                    <a:fld id="{439FAC89-1690-473D-9E5D-F0879137BE7D}" type="CELLREF">
                      <a:rPr lang="en-US" sz="1600">
                        <a:solidFill>
                          <a:sysClr val="windowText" lastClr="000000"/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600">
                          <a:solidFill>
                            <a:sysClr val="windowText" lastClr="000000"/>
                          </a:solidFill>
                        </a:defRPr>
                      </a:pPr>
                      <a:t>[REFCELL]</a:t>
                    </a:fld>
                    <a:endParaRPr lang="en-US" sz="160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6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620676487771825"/>
                      <c:h val="0.12919849830467034"/>
                    </c:manualLayout>
                  </c15:layout>
                  <c15:dlblFieldTable>
                    <c15:dlblFTEntry>
                      <c15:txfldGUID>{F417288B-27A1-4331-A549-DF3E25C23B0C}</c15:txfldGUID>
                      <c15:f>'Données '!$D$127</c15:f>
                      <c15:dlblFieldTableCache>
                        <c:ptCount val="1"/>
                        <c:pt idx="0">
                          <c:v>Testé </c:v>
                        </c:pt>
                      </c15:dlblFieldTableCache>
                    </c15:dlblFTEntry>
                    <c15:dlblFTEntry>
                      <c15:txfldGUID>{439FAC89-1690-473D-9E5D-F0879137BE7D}</c15:txfldGUID>
                      <c15:f>'Données '!$F$127</c15:f>
                      <c15:dlblFieldTableCache>
                        <c:ptCount val="1"/>
                        <c:pt idx="0">
                          <c:v>100%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8C6-4EFA-9129-BB739754D927}"/>
                </c:ext>
              </c:extLst>
            </c:dLbl>
            <c:dLbl>
              <c:idx val="2"/>
              <c:layout>
                <c:manualLayout>
                  <c:x val="-1.4554482700450153E-2"/>
                  <c:y val="-9.65320970806324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C6-4EFA-9129-BB739754D927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'Données '!$D$126:$D$129</c15:sqref>
                  </c15:fullRef>
                </c:ext>
              </c:extLst>
              <c:f>('Données '!$D$126,'Données '!$D$128:$D$129)</c:f>
              <c:strCache>
                <c:ptCount val="3"/>
                <c:pt idx="0">
                  <c:v>OK</c:v>
                </c:pt>
                <c:pt idx="1">
                  <c:v>Testé </c:v>
                </c:pt>
                <c:pt idx="2">
                  <c:v>A tester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'Données '!$F$126:$F$129</c15:sqref>
                  </c15:fullRef>
                </c:ext>
              </c:extLst>
              <c:f>('Données '!$F$126,'Données '!$F$128:$F$129)</c:f>
              <c:numCache>
                <c:formatCode>0%</c:formatCode>
                <c:ptCount val="3"/>
                <c:pt idx="0">
                  <c:v>0.84375</c:v>
                </c:pt>
                <c:pt idx="1">
                  <c:v>0.15625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38C6-4EFA-9129-BB739754D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3"/>
          <c:tx>
            <c:strRef>
              <c:f>'Données '!$O$45</c:f>
              <c:strCache>
                <c:ptCount val="1"/>
                <c:pt idx="0">
                  <c:v>% OK</c:v>
                </c:pt>
              </c:strCache>
            </c:strRef>
          </c:tx>
          <c:spPr>
            <a:solidFill>
              <a:srgbClr val="86AE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'!$O$46:$O$66</c:f>
              <c:numCache>
                <c:formatCode>0%</c:formatCode>
                <c:ptCount val="21"/>
                <c:pt idx="0">
                  <c:v>0.83333333333333337</c:v>
                </c:pt>
                <c:pt idx="1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0-4513-85CE-3784E6B24259}"/>
            </c:ext>
          </c:extLst>
        </c:ser>
        <c:ser>
          <c:idx val="4"/>
          <c:order val="4"/>
          <c:tx>
            <c:strRef>
              <c:f>'Données '!$P$45</c:f>
              <c:strCache>
                <c:ptCount val="1"/>
                <c:pt idx="0">
                  <c:v>% KO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'!$P$46:$P$66</c:f>
              <c:numCache>
                <c:formatCode>0%</c:formatCode>
                <c:ptCount val="21"/>
                <c:pt idx="0">
                  <c:v>0.16666666666666666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0-4513-85CE-3784E6B24259}"/>
            </c:ext>
          </c:extLst>
        </c:ser>
        <c:ser>
          <c:idx val="5"/>
          <c:order val="5"/>
          <c:tx>
            <c:strRef>
              <c:f>'Données '!$Q$45</c:f>
              <c:strCache>
                <c:ptCount val="1"/>
                <c:pt idx="0">
                  <c:v>% Non Testable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'!$Q$46:$Q$66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0-4513-85CE-3784E6B24259}"/>
            </c:ext>
          </c:extLst>
        </c:ser>
        <c:ser>
          <c:idx val="6"/>
          <c:order val="6"/>
          <c:tx>
            <c:strRef>
              <c:f>'Données '!$R$45</c:f>
              <c:strCache>
                <c:ptCount val="1"/>
                <c:pt idx="0">
                  <c:v>% Non Exécuté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'!$R$46:$R$66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0-4513-85CE-3784E6B242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355825112"/>
        <c:axId val="355822760"/>
      </c:barChart>
      <c:barChart>
        <c:barDir val="col"/>
        <c:grouping val="clustered"/>
        <c:varyColors val="0"/>
        <c:ser>
          <c:idx val="0"/>
          <c:order val="0"/>
          <c:tx>
            <c:strRef>
              <c:f>'Données '!$K$45</c:f>
              <c:strCache>
                <c:ptCount val="1"/>
                <c:pt idx="0">
                  <c:v>Bloquantes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'!$K$46:$K$66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0-4513-85CE-3784E6B24259}"/>
            </c:ext>
          </c:extLst>
        </c:ser>
        <c:ser>
          <c:idx val="1"/>
          <c:order val="1"/>
          <c:tx>
            <c:strRef>
              <c:f>'Données '!$L$45</c:f>
              <c:strCache>
                <c:ptCount val="1"/>
                <c:pt idx="0">
                  <c:v>Majeures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'!$L$46:$L$66</c:f>
              <c:numCache>
                <c:formatCode>General</c:formatCode>
                <c:ptCount val="21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0-4513-85CE-3784E6B24259}"/>
            </c:ext>
          </c:extLst>
        </c:ser>
        <c:ser>
          <c:idx val="2"/>
          <c:order val="2"/>
          <c:tx>
            <c:strRef>
              <c:f>'Données '!$M$45</c:f>
              <c:strCache>
                <c:ptCount val="1"/>
                <c:pt idx="0">
                  <c:v>Mineures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'!$D$46:$D$65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'!$M$46:$M$66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0-4513-85CE-3784E6B242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87"/>
        <c:overlap val="-27"/>
        <c:axId val="355821584"/>
        <c:axId val="355821192"/>
      </c:barChart>
      <c:lineChart>
        <c:grouping val="standard"/>
        <c:varyColors val="0"/>
        <c:ser>
          <c:idx val="7"/>
          <c:order val="7"/>
          <c:tx>
            <c:strRef>
              <c:f>'Données '!$N$45</c:f>
              <c:strCache>
                <c:ptCount val="1"/>
                <c:pt idx="0">
                  <c:v>Objectif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9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'!$D$46:$D$66</c:f>
              <c:strCache>
                <c:ptCount val="2"/>
                <c:pt idx="0">
                  <c:v>US-07 Faire une demande de réservation (P1)</c:v>
                </c:pt>
                <c:pt idx="1">
                  <c:v>US-08 Traiter une demande de réservation (P2)</c:v>
                </c:pt>
              </c:strCache>
            </c:strRef>
          </c:cat>
          <c:val>
            <c:numRef>
              <c:f>'Données '!$N$46:$N$66</c:f>
              <c:numCache>
                <c:formatCode>0%</c:formatCode>
                <c:ptCount val="21"/>
                <c:pt idx="0">
                  <c:v>1</c:v>
                </c:pt>
                <c:pt idx="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70-4513-85CE-3784E6B242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5825112"/>
        <c:axId val="355822760"/>
      </c:lineChart>
      <c:catAx>
        <c:axId val="35582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2760"/>
        <c:crosses val="autoZero"/>
        <c:auto val="1"/>
        <c:lblAlgn val="ctr"/>
        <c:lblOffset val="100"/>
        <c:noMultiLvlLbl val="0"/>
      </c:catAx>
      <c:valAx>
        <c:axId val="35582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5112"/>
        <c:crosses val="autoZero"/>
        <c:crossBetween val="between"/>
      </c:valAx>
      <c:valAx>
        <c:axId val="355821192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821584"/>
        <c:crosses val="max"/>
        <c:crossBetween val="between"/>
      </c:valAx>
      <c:catAx>
        <c:axId val="355821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5821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Avancement des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Analyse!$B$13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cat>
            <c:numRef>
              <c:f>Analyse!$C$10:$BW$10</c:f>
              <c:numCache>
                <c:formatCode>[$-40C]d\-mmm;@</c:formatCode>
                <c:ptCount val="73"/>
                <c:pt idx="0">
                  <c:v>47635</c:v>
                </c:pt>
                <c:pt idx="1">
                  <c:v>47642</c:v>
                </c:pt>
                <c:pt idx="2">
                  <c:v>47649</c:v>
                </c:pt>
                <c:pt idx="3">
                  <c:v>47656</c:v>
                </c:pt>
                <c:pt idx="4">
                  <c:v>47663</c:v>
                </c:pt>
                <c:pt idx="5">
                  <c:v>47670</c:v>
                </c:pt>
                <c:pt idx="6">
                  <c:v>47677</c:v>
                </c:pt>
                <c:pt idx="7">
                  <c:v>47684</c:v>
                </c:pt>
                <c:pt idx="8">
                  <c:v>47691</c:v>
                </c:pt>
                <c:pt idx="9">
                  <c:v>47698</c:v>
                </c:pt>
                <c:pt idx="10">
                  <c:v>47705</c:v>
                </c:pt>
                <c:pt idx="11">
                  <c:v>47712</c:v>
                </c:pt>
                <c:pt idx="12">
                  <c:v>47719</c:v>
                </c:pt>
                <c:pt idx="13">
                  <c:v>47726</c:v>
                </c:pt>
                <c:pt idx="14">
                  <c:v>47733</c:v>
                </c:pt>
                <c:pt idx="15">
                  <c:v>47740</c:v>
                </c:pt>
                <c:pt idx="16">
                  <c:v>47747</c:v>
                </c:pt>
                <c:pt idx="17">
                  <c:v>47754</c:v>
                </c:pt>
                <c:pt idx="18">
                  <c:v>47761</c:v>
                </c:pt>
                <c:pt idx="19">
                  <c:v>47768</c:v>
                </c:pt>
                <c:pt idx="20">
                  <c:v>47775</c:v>
                </c:pt>
                <c:pt idx="21">
                  <c:v>47782</c:v>
                </c:pt>
                <c:pt idx="22">
                  <c:v>47789</c:v>
                </c:pt>
                <c:pt idx="23">
                  <c:v>47796</c:v>
                </c:pt>
                <c:pt idx="24">
                  <c:v>47803</c:v>
                </c:pt>
                <c:pt idx="25">
                  <c:v>47810</c:v>
                </c:pt>
                <c:pt idx="26">
                  <c:v>47817</c:v>
                </c:pt>
                <c:pt idx="27">
                  <c:v>47824</c:v>
                </c:pt>
                <c:pt idx="28">
                  <c:v>47831</c:v>
                </c:pt>
                <c:pt idx="29">
                  <c:v>47838</c:v>
                </c:pt>
                <c:pt idx="30">
                  <c:v>47845</c:v>
                </c:pt>
                <c:pt idx="31">
                  <c:v>47852</c:v>
                </c:pt>
                <c:pt idx="32">
                  <c:v>47859</c:v>
                </c:pt>
                <c:pt idx="33">
                  <c:v>47866</c:v>
                </c:pt>
                <c:pt idx="34">
                  <c:v>47873</c:v>
                </c:pt>
                <c:pt idx="35">
                  <c:v>47880</c:v>
                </c:pt>
                <c:pt idx="36">
                  <c:v>47887</c:v>
                </c:pt>
                <c:pt idx="37">
                  <c:v>47894</c:v>
                </c:pt>
                <c:pt idx="38">
                  <c:v>47901</c:v>
                </c:pt>
                <c:pt idx="39">
                  <c:v>47908</c:v>
                </c:pt>
                <c:pt idx="40">
                  <c:v>47915</c:v>
                </c:pt>
                <c:pt idx="41">
                  <c:v>47922</c:v>
                </c:pt>
                <c:pt idx="42">
                  <c:v>47929</c:v>
                </c:pt>
                <c:pt idx="43">
                  <c:v>47936</c:v>
                </c:pt>
                <c:pt idx="44">
                  <c:v>47943</c:v>
                </c:pt>
                <c:pt idx="45">
                  <c:v>47950</c:v>
                </c:pt>
                <c:pt idx="46">
                  <c:v>47957</c:v>
                </c:pt>
                <c:pt idx="47">
                  <c:v>47964</c:v>
                </c:pt>
                <c:pt idx="48">
                  <c:v>47971</c:v>
                </c:pt>
                <c:pt idx="49">
                  <c:v>47978</c:v>
                </c:pt>
                <c:pt idx="50">
                  <c:v>47985</c:v>
                </c:pt>
                <c:pt idx="51">
                  <c:v>47992</c:v>
                </c:pt>
                <c:pt idx="52">
                  <c:v>47999</c:v>
                </c:pt>
                <c:pt idx="53">
                  <c:v>48006</c:v>
                </c:pt>
                <c:pt idx="54">
                  <c:v>48013</c:v>
                </c:pt>
                <c:pt idx="55">
                  <c:v>48020</c:v>
                </c:pt>
                <c:pt idx="56">
                  <c:v>48027</c:v>
                </c:pt>
                <c:pt idx="57">
                  <c:v>48034</c:v>
                </c:pt>
                <c:pt idx="58">
                  <c:v>48041</c:v>
                </c:pt>
                <c:pt idx="59">
                  <c:v>48048</c:v>
                </c:pt>
                <c:pt idx="60">
                  <c:v>48055</c:v>
                </c:pt>
                <c:pt idx="61">
                  <c:v>48062</c:v>
                </c:pt>
                <c:pt idx="62">
                  <c:v>48069</c:v>
                </c:pt>
                <c:pt idx="63">
                  <c:v>48076</c:v>
                </c:pt>
                <c:pt idx="64">
                  <c:v>48083</c:v>
                </c:pt>
                <c:pt idx="65">
                  <c:v>48090</c:v>
                </c:pt>
                <c:pt idx="66">
                  <c:v>48097</c:v>
                </c:pt>
                <c:pt idx="67">
                  <c:v>48104</c:v>
                </c:pt>
                <c:pt idx="68">
                  <c:v>48111</c:v>
                </c:pt>
                <c:pt idx="69">
                  <c:v>48118</c:v>
                </c:pt>
                <c:pt idx="70">
                  <c:v>48125</c:v>
                </c:pt>
                <c:pt idx="71">
                  <c:v>48132</c:v>
                </c:pt>
                <c:pt idx="72">
                  <c:v>48139</c:v>
                </c:pt>
              </c:numCache>
            </c:numRef>
          </c:cat>
          <c:val>
            <c:numRef>
              <c:f>Analyse!$C$13:$BW$13</c:f>
              <c:numCache>
                <c:formatCode>0%</c:formatCode>
                <c:ptCount val="73"/>
                <c:pt idx="0">
                  <c:v>0.01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0.11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0.23</c:v>
                </c:pt>
                <c:pt idx="9">
                  <c:v>0.27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0.35</c:v>
                </c:pt>
                <c:pt idx="14">
                  <c:v>0.4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4-4B96-B2DC-9E84A942F8E2}"/>
            </c:ext>
          </c:extLst>
        </c:ser>
        <c:ser>
          <c:idx val="2"/>
          <c:order val="1"/>
          <c:tx>
            <c:strRef>
              <c:f>Analyse!$B$14</c:f>
              <c:strCache>
                <c:ptCount val="1"/>
                <c:pt idx="0">
                  <c:v>KO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Analyse!$C$10:$BW$10</c:f>
              <c:numCache>
                <c:formatCode>[$-40C]d\-mmm;@</c:formatCode>
                <c:ptCount val="73"/>
                <c:pt idx="0">
                  <c:v>47635</c:v>
                </c:pt>
                <c:pt idx="1">
                  <c:v>47642</c:v>
                </c:pt>
                <c:pt idx="2">
                  <c:v>47649</c:v>
                </c:pt>
                <c:pt idx="3">
                  <c:v>47656</c:v>
                </c:pt>
                <c:pt idx="4">
                  <c:v>47663</c:v>
                </c:pt>
                <c:pt idx="5">
                  <c:v>47670</c:v>
                </c:pt>
                <c:pt idx="6">
                  <c:v>47677</c:v>
                </c:pt>
                <c:pt idx="7">
                  <c:v>47684</c:v>
                </c:pt>
                <c:pt idx="8">
                  <c:v>47691</c:v>
                </c:pt>
                <c:pt idx="9">
                  <c:v>47698</c:v>
                </c:pt>
                <c:pt idx="10">
                  <c:v>47705</c:v>
                </c:pt>
                <c:pt idx="11">
                  <c:v>47712</c:v>
                </c:pt>
                <c:pt idx="12">
                  <c:v>47719</c:v>
                </c:pt>
                <c:pt idx="13">
                  <c:v>47726</c:v>
                </c:pt>
                <c:pt idx="14">
                  <c:v>47733</c:v>
                </c:pt>
                <c:pt idx="15">
                  <c:v>47740</c:v>
                </c:pt>
                <c:pt idx="16">
                  <c:v>47747</c:v>
                </c:pt>
                <c:pt idx="17">
                  <c:v>47754</c:v>
                </c:pt>
                <c:pt idx="18">
                  <c:v>47761</c:v>
                </c:pt>
                <c:pt idx="19">
                  <c:v>47768</c:v>
                </c:pt>
                <c:pt idx="20">
                  <c:v>47775</c:v>
                </c:pt>
                <c:pt idx="21">
                  <c:v>47782</c:v>
                </c:pt>
                <c:pt idx="22">
                  <c:v>47789</c:v>
                </c:pt>
                <c:pt idx="23">
                  <c:v>47796</c:v>
                </c:pt>
                <c:pt idx="24">
                  <c:v>47803</c:v>
                </c:pt>
                <c:pt idx="25">
                  <c:v>47810</c:v>
                </c:pt>
                <c:pt idx="26">
                  <c:v>47817</c:v>
                </c:pt>
                <c:pt idx="27">
                  <c:v>47824</c:v>
                </c:pt>
                <c:pt idx="28">
                  <c:v>47831</c:v>
                </c:pt>
                <c:pt idx="29">
                  <c:v>47838</c:v>
                </c:pt>
                <c:pt idx="30">
                  <c:v>47845</c:v>
                </c:pt>
                <c:pt idx="31">
                  <c:v>47852</c:v>
                </c:pt>
                <c:pt idx="32">
                  <c:v>47859</c:v>
                </c:pt>
                <c:pt idx="33">
                  <c:v>47866</c:v>
                </c:pt>
                <c:pt idx="34">
                  <c:v>47873</c:v>
                </c:pt>
                <c:pt idx="35">
                  <c:v>47880</c:v>
                </c:pt>
                <c:pt idx="36">
                  <c:v>47887</c:v>
                </c:pt>
                <c:pt idx="37">
                  <c:v>47894</c:v>
                </c:pt>
                <c:pt idx="38">
                  <c:v>47901</c:v>
                </c:pt>
                <c:pt idx="39">
                  <c:v>47908</c:v>
                </c:pt>
                <c:pt idx="40">
                  <c:v>47915</c:v>
                </c:pt>
                <c:pt idx="41">
                  <c:v>47922</c:v>
                </c:pt>
                <c:pt idx="42">
                  <c:v>47929</c:v>
                </c:pt>
                <c:pt idx="43">
                  <c:v>47936</c:v>
                </c:pt>
                <c:pt idx="44">
                  <c:v>47943</c:v>
                </c:pt>
                <c:pt idx="45">
                  <c:v>47950</c:v>
                </c:pt>
                <c:pt idx="46">
                  <c:v>47957</c:v>
                </c:pt>
                <c:pt idx="47">
                  <c:v>47964</c:v>
                </c:pt>
                <c:pt idx="48">
                  <c:v>47971</c:v>
                </c:pt>
                <c:pt idx="49">
                  <c:v>47978</c:v>
                </c:pt>
                <c:pt idx="50">
                  <c:v>47985</c:v>
                </c:pt>
                <c:pt idx="51">
                  <c:v>47992</c:v>
                </c:pt>
                <c:pt idx="52">
                  <c:v>47999</c:v>
                </c:pt>
                <c:pt idx="53">
                  <c:v>48006</c:v>
                </c:pt>
                <c:pt idx="54">
                  <c:v>48013</c:v>
                </c:pt>
                <c:pt idx="55">
                  <c:v>48020</c:v>
                </c:pt>
                <c:pt idx="56">
                  <c:v>48027</c:v>
                </c:pt>
                <c:pt idx="57">
                  <c:v>48034</c:v>
                </c:pt>
                <c:pt idx="58">
                  <c:v>48041</c:v>
                </c:pt>
                <c:pt idx="59">
                  <c:v>48048</c:v>
                </c:pt>
                <c:pt idx="60">
                  <c:v>48055</c:v>
                </c:pt>
                <c:pt idx="61">
                  <c:v>48062</c:v>
                </c:pt>
                <c:pt idx="62">
                  <c:v>48069</c:v>
                </c:pt>
                <c:pt idx="63">
                  <c:v>48076</c:v>
                </c:pt>
                <c:pt idx="64">
                  <c:v>48083</c:v>
                </c:pt>
                <c:pt idx="65">
                  <c:v>48090</c:v>
                </c:pt>
                <c:pt idx="66">
                  <c:v>48097</c:v>
                </c:pt>
                <c:pt idx="67">
                  <c:v>48104</c:v>
                </c:pt>
                <c:pt idx="68">
                  <c:v>48111</c:v>
                </c:pt>
                <c:pt idx="69">
                  <c:v>48118</c:v>
                </c:pt>
                <c:pt idx="70">
                  <c:v>48125</c:v>
                </c:pt>
                <c:pt idx="71">
                  <c:v>48132</c:v>
                </c:pt>
                <c:pt idx="72">
                  <c:v>48139</c:v>
                </c:pt>
              </c:numCache>
            </c:numRef>
          </c:cat>
          <c:val>
            <c:numRef>
              <c:f>Analyse!$C$14:$BW$14</c:f>
              <c:numCache>
                <c:formatCode>0%</c:formatCode>
                <c:ptCount val="73"/>
                <c:pt idx="0">
                  <c:v>0.02</c:v>
                </c:pt>
                <c:pt idx="1">
                  <c:v>0.04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4-4B96-B2DC-9E84A942F8E2}"/>
            </c:ext>
          </c:extLst>
        </c:ser>
        <c:ser>
          <c:idx val="0"/>
          <c:order val="2"/>
          <c:tx>
            <c:strRef>
              <c:f>Analyse!$B$15</c:f>
              <c:strCache>
                <c:ptCount val="1"/>
                <c:pt idx="0">
                  <c:v>Non Testable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Analyse!$C$10:$BW$10</c:f>
              <c:numCache>
                <c:formatCode>[$-40C]d\-mmm;@</c:formatCode>
                <c:ptCount val="73"/>
                <c:pt idx="0">
                  <c:v>47635</c:v>
                </c:pt>
                <c:pt idx="1">
                  <c:v>47642</c:v>
                </c:pt>
                <c:pt idx="2">
                  <c:v>47649</c:v>
                </c:pt>
                <c:pt idx="3">
                  <c:v>47656</c:v>
                </c:pt>
                <c:pt idx="4">
                  <c:v>47663</c:v>
                </c:pt>
                <c:pt idx="5">
                  <c:v>47670</c:v>
                </c:pt>
                <c:pt idx="6">
                  <c:v>47677</c:v>
                </c:pt>
                <c:pt idx="7">
                  <c:v>47684</c:v>
                </c:pt>
                <c:pt idx="8">
                  <c:v>47691</c:v>
                </c:pt>
                <c:pt idx="9">
                  <c:v>47698</c:v>
                </c:pt>
                <c:pt idx="10">
                  <c:v>47705</c:v>
                </c:pt>
                <c:pt idx="11">
                  <c:v>47712</c:v>
                </c:pt>
                <c:pt idx="12">
                  <c:v>47719</c:v>
                </c:pt>
                <c:pt idx="13">
                  <c:v>47726</c:v>
                </c:pt>
                <c:pt idx="14">
                  <c:v>47733</c:v>
                </c:pt>
                <c:pt idx="15">
                  <c:v>47740</c:v>
                </c:pt>
                <c:pt idx="16">
                  <c:v>47747</c:v>
                </c:pt>
                <c:pt idx="17">
                  <c:v>47754</c:v>
                </c:pt>
                <c:pt idx="18">
                  <c:v>47761</c:v>
                </c:pt>
                <c:pt idx="19">
                  <c:v>47768</c:v>
                </c:pt>
                <c:pt idx="20">
                  <c:v>47775</c:v>
                </c:pt>
                <c:pt idx="21">
                  <c:v>47782</c:v>
                </c:pt>
                <c:pt idx="22">
                  <c:v>47789</c:v>
                </c:pt>
                <c:pt idx="23">
                  <c:v>47796</c:v>
                </c:pt>
                <c:pt idx="24">
                  <c:v>47803</c:v>
                </c:pt>
                <c:pt idx="25">
                  <c:v>47810</c:v>
                </c:pt>
                <c:pt idx="26">
                  <c:v>47817</c:v>
                </c:pt>
                <c:pt idx="27">
                  <c:v>47824</c:v>
                </c:pt>
                <c:pt idx="28">
                  <c:v>47831</c:v>
                </c:pt>
                <c:pt idx="29">
                  <c:v>47838</c:v>
                </c:pt>
                <c:pt idx="30">
                  <c:v>47845</c:v>
                </c:pt>
                <c:pt idx="31">
                  <c:v>47852</c:v>
                </c:pt>
                <c:pt idx="32">
                  <c:v>47859</c:v>
                </c:pt>
                <c:pt idx="33">
                  <c:v>47866</c:v>
                </c:pt>
                <c:pt idx="34">
                  <c:v>47873</c:v>
                </c:pt>
                <c:pt idx="35">
                  <c:v>47880</c:v>
                </c:pt>
                <c:pt idx="36">
                  <c:v>47887</c:v>
                </c:pt>
                <c:pt idx="37">
                  <c:v>47894</c:v>
                </c:pt>
                <c:pt idx="38">
                  <c:v>47901</c:v>
                </c:pt>
                <c:pt idx="39">
                  <c:v>47908</c:v>
                </c:pt>
                <c:pt idx="40">
                  <c:v>47915</c:v>
                </c:pt>
                <c:pt idx="41">
                  <c:v>47922</c:v>
                </c:pt>
                <c:pt idx="42">
                  <c:v>47929</c:v>
                </c:pt>
                <c:pt idx="43">
                  <c:v>47936</c:v>
                </c:pt>
                <c:pt idx="44">
                  <c:v>47943</c:v>
                </c:pt>
                <c:pt idx="45">
                  <c:v>47950</c:v>
                </c:pt>
                <c:pt idx="46">
                  <c:v>47957</c:v>
                </c:pt>
                <c:pt idx="47">
                  <c:v>47964</c:v>
                </c:pt>
                <c:pt idx="48">
                  <c:v>47971</c:v>
                </c:pt>
                <c:pt idx="49">
                  <c:v>47978</c:v>
                </c:pt>
                <c:pt idx="50">
                  <c:v>47985</c:v>
                </c:pt>
                <c:pt idx="51">
                  <c:v>47992</c:v>
                </c:pt>
                <c:pt idx="52">
                  <c:v>47999</c:v>
                </c:pt>
                <c:pt idx="53">
                  <c:v>48006</c:v>
                </c:pt>
                <c:pt idx="54">
                  <c:v>48013</c:v>
                </c:pt>
                <c:pt idx="55">
                  <c:v>48020</c:v>
                </c:pt>
                <c:pt idx="56">
                  <c:v>48027</c:v>
                </c:pt>
                <c:pt idx="57">
                  <c:v>48034</c:v>
                </c:pt>
                <c:pt idx="58">
                  <c:v>48041</c:v>
                </c:pt>
                <c:pt idx="59">
                  <c:v>48048</c:v>
                </c:pt>
                <c:pt idx="60">
                  <c:v>48055</c:v>
                </c:pt>
                <c:pt idx="61">
                  <c:v>48062</c:v>
                </c:pt>
                <c:pt idx="62">
                  <c:v>48069</c:v>
                </c:pt>
                <c:pt idx="63">
                  <c:v>48076</c:v>
                </c:pt>
                <c:pt idx="64">
                  <c:v>48083</c:v>
                </c:pt>
                <c:pt idx="65">
                  <c:v>48090</c:v>
                </c:pt>
                <c:pt idx="66">
                  <c:v>48097</c:v>
                </c:pt>
                <c:pt idx="67">
                  <c:v>48104</c:v>
                </c:pt>
                <c:pt idx="68">
                  <c:v>48111</c:v>
                </c:pt>
                <c:pt idx="69">
                  <c:v>48118</c:v>
                </c:pt>
                <c:pt idx="70">
                  <c:v>48125</c:v>
                </c:pt>
                <c:pt idx="71">
                  <c:v>48132</c:v>
                </c:pt>
                <c:pt idx="72">
                  <c:v>48139</c:v>
                </c:pt>
              </c:numCache>
            </c:numRef>
          </c:cat>
          <c:val>
            <c:numRef>
              <c:f>Analyse!$C$15:$BW$15</c:f>
              <c:numCache>
                <c:formatCode>0%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24-4B96-B2DC-9E84A942F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216272"/>
        <c:axId val="355220976"/>
      </c:lineChart>
      <c:dateAx>
        <c:axId val="355216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-40C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220976"/>
        <c:crosses val="autoZero"/>
        <c:auto val="1"/>
        <c:lblOffset val="100"/>
        <c:baseTimeUnit val="days"/>
      </c:dateAx>
      <c:valAx>
        <c:axId val="3552209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2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Analyse!$B$13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Analyse!$C$10:$BW$10</c:f>
              <c:numCache>
                <c:formatCode>[$-40C]d\-mmm;@</c:formatCode>
                <c:ptCount val="73"/>
                <c:pt idx="0">
                  <c:v>47635</c:v>
                </c:pt>
                <c:pt idx="1">
                  <c:v>47642</c:v>
                </c:pt>
                <c:pt idx="2">
                  <c:v>47649</c:v>
                </c:pt>
                <c:pt idx="3">
                  <c:v>47656</c:v>
                </c:pt>
                <c:pt idx="4">
                  <c:v>47663</c:v>
                </c:pt>
                <c:pt idx="5">
                  <c:v>47670</c:v>
                </c:pt>
                <c:pt idx="6">
                  <c:v>47677</c:v>
                </c:pt>
                <c:pt idx="7">
                  <c:v>47684</c:v>
                </c:pt>
                <c:pt idx="8">
                  <c:v>47691</c:v>
                </c:pt>
                <c:pt idx="9">
                  <c:v>47698</c:v>
                </c:pt>
                <c:pt idx="10">
                  <c:v>47705</c:v>
                </c:pt>
                <c:pt idx="11">
                  <c:v>47712</c:v>
                </c:pt>
                <c:pt idx="12">
                  <c:v>47719</c:v>
                </c:pt>
                <c:pt idx="13">
                  <c:v>47726</c:v>
                </c:pt>
                <c:pt idx="14">
                  <c:v>47733</c:v>
                </c:pt>
                <c:pt idx="15">
                  <c:v>47740</c:v>
                </c:pt>
                <c:pt idx="16">
                  <c:v>47747</c:v>
                </c:pt>
                <c:pt idx="17">
                  <c:v>47754</c:v>
                </c:pt>
                <c:pt idx="18">
                  <c:v>47761</c:v>
                </c:pt>
                <c:pt idx="19">
                  <c:v>47768</c:v>
                </c:pt>
                <c:pt idx="20">
                  <c:v>47775</c:v>
                </c:pt>
                <c:pt idx="21">
                  <c:v>47782</c:v>
                </c:pt>
                <c:pt idx="22">
                  <c:v>47789</c:v>
                </c:pt>
                <c:pt idx="23">
                  <c:v>47796</c:v>
                </c:pt>
                <c:pt idx="24">
                  <c:v>47803</c:v>
                </c:pt>
                <c:pt idx="25">
                  <c:v>47810</c:v>
                </c:pt>
                <c:pt idx="26">
                  <c:v>47817</c:v>
                </c:pt>
                <c:pt idx="27">
                  <c:v>47824</c:v>
                </c:pt>
                <c:pt idx="28">
                  <c:v>47831</c:v>
                </c:pt>
                <c:pt idx="29">
                  <c:v>47838</c:v>
                </c:pt>
                <c:pt idx="30">
                  <c:v>47845</c:v>
                </c:pt>
                <c:pt idx="31">
                  <c:v>47852</c:v>
                </c:pt>
                <c:pt idx="32">
                  <c:v>47859</c:v>
                </c:pt>
                <c:pt idx="33">
                  <c:v>47866</c:v>
                </c:pt>
                <c:pt idx="34">
                  <c:v>47873</c:v>
                </c:pt>
                <c:pt idx="35">
                  <c:v>47880</c:v>
                </c:pt>
                <c:pt idx="36">
                  <c:v>47887</c:v>
                </c:pt>
                <c:pt idx="37">
                  <c:v>47894</c:v>
                </c:pt>
                <c:pt idx="38">
                  <c:v>47901</c:v>
                </c:pt>
                <c:pt idx="39">
                  <c:v>47908</c:v>
                </c:pt>
                <c:pt idx="40">
                  <c:v>47915</c:v>
                </c:pt>
                <c:pt idx="41">
                  <c:v>47922</c:v>
                </c:pt>
                <c:pt idx="42">
                  <c:v>47929</c:v>
                </c:pt>
                <c:pt idx="43">
                  <c:v>47936</c:v>
                </c:pt>
                <c:pt idx="44">
                  <c:v>47943</c:v>
                </c:pt>
                <c:pt idx="45">
                  <c:v>47950</c:v>
                </c:pt>
                <c:pt idx="46">
                  <c:v>47957</c:v>
                </c:pt>
                <c:pt idx="47">
                  <c:v>47964</c:v>
                </c:pt>
                <c:pt idx="48">
                  <c:v>47971</c:v>
                </c:pt>
                <c:pt idx="49">
                  <c:v>47978</c:v>
                </c:pt>
                <c:pt idx="50">
                  <c:v>47985</c:v>
                </c:pt>
                <c:pt idx="51">
                  <c:v>47992</c:v>
                </c:pt>
                <c:pt idx="52">
                  <c:v>47999</c:v>
                </c:pt>
                <c:pt idx="53">
                  <c:v>48006</c:v>
                </c:pt>
                <c:pt idx="54">
                  <c:v>48013</c:v>
                </c:pt>
                <c:pt idx="55">
                  <c:v>48020</c:v>
                </c:pt>
                <c:pt idx="56">
                  <c:v>48027</c:v>
                </c:pt>
                <c:pt idx="57">
                  <c:v>48034</c:v>
                </c:pt>
                <c:pt idx="58">
                  <c:v>48041</c:v>
                </c:pt>
                <c:pt idx="59">
                  <c:v>48048</c:v>
                </c:pt>
                <c:pt idx="60">
                  <c:v>48055</c:v>
                </c:pt>
                <c:pt idx="61">
                  <c:v>48062</c:v>
                </c:pt>
                <c:pt idx="62">
                  <c:v>48069</c:v>
                </c:pt>
                <c:pt idx="63">
                  <c:v>48076</c:v>
                </c:pt>
                <c:pt idx="64">
                  <c:v>48083</c:v>
                </c:pt>
                <c:pt idx="65">
                  <c:v>48090</c:v>
                </c:pt>
                <c:pt idx="66">
                  <c:v>48097</c:v>
                </c:pt>
                <c:pt idx="67">
                  <c:v>48104</c:v>
                </c:pt>
                <c:pt idx="68">
                  <c:v>48111</c:v>
                </c:pt>
                <c:pt idx="69">
                  <c:v>48118</c:v>
                </c:pt>
                <c:pt idx="70">
                  <c:v>48125</c:v>
                </c:pt>
                <c:pt idx="71">
                  <c:v>48132</c:v>
                </c:pt>
                <c:pt idx="72">
                  <c:v>48139</c:v>
                </c:pt>
              </c:numCache>
            </c:numRef>
          </c:cat>
          <c:val>
            <c:numRef>
              <c:f>Analyse!$C$13:$BW$13</c:f>
              <c:numCache>
                <c:formatCode>0%</c:formatCode>
                <c:ptCount val="73"/>
                <c:pt idx="0">
                  <c:v>0.01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0.11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0.23</c:v>
                </c:pt>
                <c:pt idx="9">
                  <c:v>0.27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0.35</c:v>
                </c:pt>
                <c:pt idx="14">
                  <c:v>0.4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F-41B0-A75D-D046ECDA2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213528"/>
        <c:axId val="355213920"/>
      </c:lineChart>
      <c:dateAx>
        <c:axId val="355213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-40C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213920"/>
        <c:crosses val="autoZero"/>
        <c:auto val="1"/>
        <c:lblOffset val="100"/>
        <c:baseTimeUnit val="days"/>
      </c:dateAx>
      <c:valAx>
        <c:axId val="355213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21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3960734242183E-2"/>
          <c:y val="0.1491628257378862"/>
          <c:w val="0.90749475628261456"/>
          <c:h val="0.66571888167529469"/>
        </c:manualLayout>
      </c:layout>
      <c:lineChart>
        <c:grouping val="standard"/>
        <c:varyColors val="0"/>
        <c:ser>
          <c:idx val="1"/>
          <c:order val="0"/>
          <c:tx>
            <c:strRef>
              <c:f>Analyse!$B$13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Analyse!$C$10:$BW$10</c:f>
              <c:numCache>
                <c:formatCode>[$-40C]d\-mmm;@</c:formatCode>
                <c:ptCount val="73"/>
                <c:pt idx="0">
                  <c:v>47635</c:v>
                </c:pt>
                <c:pt idx="1">
                  <c:v>47642</c:v>
                </c:pt>
                <c:pt idx="2">
                  <c:v>47649</c:v>
                </c:pt>
                <c:pt idx="3">
                  <c:v>47656</c:v>
                </c:pt>
                <c:pt idx="4">
                  <c:v>47663</c:v>
                </c:pt>
                <c:pt idx="5">
                  <c:v>47670</c:v>
                </c:pt>
                <c:pt idx="6">
                  <c:v>47677</c:v>
                </c:pt>
                <c:pt idx="7">
                  <c:v>47684</c:v>
                </c:pt>
                <c:pt idx="8">
                  <c:v>47691</c:v>
                </c:pt>
                <c:pt idx="9">
                  <c:v>47698</c:v>
                </c:pt>
                <c:pt idx="10">
                  <c:v>47705</c:v>
                </c:pt>
                <c:pt idx="11">
                  <c:v>47712</c:v>
                </c:pt>
                <c:pt idx="12">
                  <c:v>47719</c:v>
                </c:pt>
                <c:pt idx="13">
                  <c:v>47726</c:v>
                </c:pt>
                <c:pt idx="14">
                  <c:v>47733</c:v>
                </c:pt>
                <c:pt idx="15">
                  <c:v>47740</c:v>
                </c:pt>
                <c:pt idx="16">
                  <c:v>47747</c:v>
                </c:pt>
                <c:pt idx="17">
                  <c:v>47754</c:v>
                </c:pt>
                <c:pt idx="18">
                  <c:v>47761</c:v>
                </c:pt>
                <c:pt idx="19">
                  <c:v>47768</c:v>
                </c:pt>
                <c:pt idx="20">
                  <c:v>47775</c:v>
                </c:pt>
                <c:pt idx="21">
                  <c:v>47782</c:v>
                </c:pt>
                <c:pt idx="22">
                  <c:v>47789</c:v>
                </c:pt>
                <c:pt idx="23">
                  <c:v>47796</c:v>
                </c:pt>
                <c:pt idx="24">
                  <c:v>47803</c:v>
                </c:pt>
                <c:pt idx="25">
                  <c:v>47810</c:v>
                </c:pt>
                <c:pt idx="26">
                  <c:v>47817</c:v>
                </c:pt>
                <c:pt idx="27">
                  <c:v>47824</c:v>
                </c:pt>
                <c:pt idx="28">
                  <c:v>47831</c:v>
                </c:pt>
                <c:pt idx="29">
                  <c:v>47838</c:v>
                </c:pt>
                <c:pt idx="30">
                  <c:v>47845</c:v>
                </c:pt>
                <c:pt idx="31">
                  <c:v>47852</c:v>
                </c:pt>
                <c:pt idx="32">
                  <c:v>47859</c:v>
                </c:pt>
                <c:pt idx="33">
                  <c:v>47866</c:v>
                </c:pt>
                <c:pt idx="34">
                  <c:v>47873</c:v>
                </c:pt>
                <c:pt idx="35">
                  <c:v>47880</c:v>
                </c:pt>
                <c:pt idx="36">
                  <c:v>47887</c:v>
                </c:pt>
                <c:pt idx="37">
                  <c:v>47894</c:v>
                </c:pt>
                <c:pt idx="38">
                  <c:v>47901</c:v>
                </c:pt>
                <c:pt idx="39">
                  <c:v>47908</c:v>
                </c:pt>
                <c:pt idx="40">
                  <c:v>47915</c:v>
                </c:pt>
                <c:pt idx="41">
                  <c:v>47922</c:v>
                </c:pt>
                <c:pt idx="42">
                  <c:v>47929</c:v>
                </c:pt>
                <c:pt idx="43">
                  <c:v>47936</c:v>
                </c:pt>
                <c:pt idx="44">
                  <c:v>47943</c:v>
                </c:pt>
                <c:pt idx="45">
                  <c:v>47950</c:v>
                </c:pt>
                <c:pt idx="46">
                  <c:v>47957</c:v>
                </c:pt>
                <c:pt idx="47">
                  <c:v>47964</c:v>
                </c:pt>
                <c:pt idx="48">
                  <c:v>47971</c:v>
                </c:pt>
                <c:pt idx="49">
                  <c:v>47978</c:v>
                </c:pt>
                <c:pt idx="50">
                  <c:v>47985</c:v>
                </c:pt>
                <c:pt idx="51">
                  <c:v>47992</c:v>
                </c:pt>
                <c:pt idx="52">
                  <c:v>47999</c:v>
                </c:pt>
                <c:pt idx="53">
                  <c:v>48006</c:v>
                </c:pt>
                <c:pt idx="54">
                  <c:v>48013</c:v>
                </c:pt>
                <c:pt idx="55">
                  <c:v>48020</c:v>
                </c:pt>
                <c:pt idx="56">
                  <c:v>48027</c:v>
                </c:pt>
                <c:pt idx="57">
                  <c:v>48034</c:v>
                </c:pt>
                <c:pt idx="58">
                  <c:v>48041</c:v>
                </c:pt>
                <c:pt idx="59">
                  <c:v>48048</c:v>
                </c:pt>
                <c:pt idx="60">
                  <c:v>48055</c:v>
                </c:pt>
                <c:pt idx="61">
                  <c:v>48062</c:v>
                </c:pt>
                <c:pt idx="62">
                  <c:v>48069</c:v>
                </c:pt>
                <c:pt idx="63">
                  <c:v>48076</c:v>
                </c:pt>
                <c:pt idx="64">
                  <c:v>48083</c:v>
                </c:pt>
                <c:pt idx="65">
                  <c:v>48090</c:v>
                </c:pt>
                <c:pt idx="66">
                  <c:v>48097</c:v>
                </c:pt>
                <c:pt idx="67">
                  <c:v>48104</c:v>
                </c:pt>
                <c:pt idx="68">
                  <c:v>48111</c:v>
                </c:pt>
                <c:pt idx="69">
                  <c:v>48118</c:v>
                </c:pt>
                <c:pt idx="70">
                  <c:v>48125</c:v>
                </c:pt>
                <c:pt idx="71">
                  <c:v>48132</c:v>
                </c:pt>
                <c:pt idx="72">
                  <c:v>48139</c:v>
                </c:pt>
              </c:numCache>
            </c:numRef>
          </c:cat>
          <c:val>
            <c:numRef>
              <c:f>Analyse!$C$13:$BW$13</c:f>
              <c:numCache>
                <c:formatCode>0%</c:formatCode>
                <c:ptCount val="73"/>
                <c:pt idx="0">
                  <c:v>0.01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0.11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0.23</c:v>
                </c:pt>
                <c:pt idx="9">
                  <c:v>0.27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0.35</c:v>
                </c:pt>
                <c:pt idx="14">
                  <c:v>0.4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1-498E-97FD-DEFFEEE4E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smooth val="0"/>
        <c:axId val="355218624"/>
        <c:axId val="355215880"/>
      </c:lineChart>
      <c:dateAx>
        <c:axId val="3552186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/>
                  <a:t>Temps</a:t>
                </a:r>
              </a:p>
            </c:rich>
          </c:tx>
          <c:layout>
            <c:manualLayout>
              <c:xMode val="edge"/>
              <c:yMode val="edge"/>
              <c:x val="0.49375140089069797"/>
              <c:y val="0.901432208431406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[$-40C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215880"/>
        <c:crosses val="autoZero"/>
        <c:auto val="1"/>
        <c:lblOffset val="100"/>
        <c:baseTimeUnit val="days"/>
      </c:dateAx>
      <c:valAx>
        <c:axId val="3552158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/>
                  <a:t>Périmètre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521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7E0AAA80-EA61-4E42-99B9-50938B7FB604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aseline="0">
                    <a:solidFill>
                      <a:sysClr val="windowText" lastClr="000000"/>
                    </a:solidFill>
                  </a:defRPr>
                </a:pPr>
                <a:endParaRPr lang="fr-FR" sz="14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1" value="0"/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>
                      <a:solidFill>
                        <a:srgbClr val="FF0000"/>
                      </a:solidFill>
                    </a:defRPr>
                  </a:pPr>
                  <a:r>
                    <a:rPr lang="fr-FR" sz="1400" b="0" i="0" u="none" strike="noStrike" baseline="0">
                      <a:solidFill>
                        <a:srgbClr val="FF0000"/>
                      </a:solidFill>
                      <a:latin typeface="Calibri" panose="020F0502020204030204"/>
                    </a:rPr>
                    <a:t>Story 7</a:t>
                  </a:r>
                </a:p>
              </cx:txPr>
              <cx:visibility seriesName="0" categoryName="1" value="0"/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Périmètre fonctionnel du produit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5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Périmètre fonctionnel du produit</a:t>
          </a:r>
        </a:p>
      </cx:txPr>
    </cx:title>
    <cx:plotArea>
      <cx:plotAreaRegion>
        <cx:series layoutId="treemap" uniqueId="{7E0AAA80-EA61-4E42-99B9-50938B7FB604}">
          <cx:spPr>
            <a:solidFill>
              <a:schemeClr val="accent5">
                <a:lumMod val="20000"/>
                <a:lumOff val="80000"/>
              </a:schemeClr>
            </a:solidFill>
          </cx:spPr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solidFill>
                      <a:sysClr val="windowText" lastClr="000000"/>
                    </a:solidFill>
                  </a:defRPr>
                </a:pPr>
                <a:endParaRPr lang="fr-FR" sz="12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endParaRPr lang="fr-FR" sz="18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plotArea>
      <cx:plotAreaRegion>
        <cx:series layoutId="treemap" uniqueId="{7E0AAA80-EA61-4E42-99B9-50938B7FB604}">
          <cx:spPr>
            <a:solidFill>
              <a:schemeClr val="accent2"/>
            </a:solidFill>
          </cx:spPr>
          <cx:dataPt idx="1">
            <cx:spPr>
              <a:solidFill>
                <a:srgbClr val="9BBB59"/>
              </a:solidFill>
            </cx:spPr>
          </cx:dataPt>
          <cx:dataPt idx="2">
            <cx:spPr>
              <a:solidFill>
                <a:srgbClr val="9BBB59"/>
              </a:solidFill>
            </cx:spPr>
          </cx:dataPt>
          <cx:dataPt idx="3">
            <cx:spPr>
              <a:solidFill>
                <a:srgbClr val="9BBB59"/>
              </a:solidFill>
            </cx:spPr>
          </cx:dataPt>
          <cx:dataPt idx="15">
            <cx:spPr>
              <a:solidFill>
                <a:srgbClr val="9BBB59"/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fr-FR" sz="12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 b="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Sprint 1</a:t>
                  </a:r>
                </a:p>
              </cx:txPr>
              <cx:visibility seriesName="0" categoryName="1" value="0"/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 b="0">
                      <a:solidFill>
                        <a:schemeClr val="bg1"/>
                      </a:solidFill>
                    </a:defRPr>
                  </a:pPr>
                  <a:r>
                    <a:rPr lang="fr-FR" sz="12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Exigence 3</a:t>
                  </a:r>
                </a:p>
              </cx:txPr>
              <cx:visibility seriesName="0" categoryName="1" value="0"/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2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3</a:t>
                  </a:r>
                </a:p>
              </cx:txPr>
            </cx:dataLabel>
            <cx:dataLabel idx="1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4</a:t>
                  </a:r>
                </a:p>
              </cx:txPr>
            </cx:dataLabel>
            <cx:dataLabel idx="1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5</a:t>
                  </a:r>
                </a:p>
              </cx:txPr>
            </cx:dataLabel>
            <cx:dataLabel idx="1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>
                      <a:solidFill>
                        <a:schemeClr val="bg1"/>
                      </a:solidFill>
                    </a:defRPr>
                  </a:pPr>
                  <a:r>
                    <a:rPr lang="fr-FR" sz="12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Exigence 10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>
                      <a:solidFill>
                        <a:schemeClr val="bg1"/>
                      </a:solidFill>
                    </a:defRPr>
                  </a:pPr>
                  <a:r>
                    <a:rPr lang="fr-FR" sz="12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Exigence 11</a:t>
                  </a:r>
                </a:p>
              </cx:txPr>
            </cx:dataLabel>
            <cx:dataLabel idx="1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6</a:t>
                  </a:r>
                </a:p>
              </cx:txPr>
            </cx:dataLabel>
            <cx:dataLabel idx="1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7</a:t>
                  </a:r>
                </a:p>
              </cx:txPr>
            </cx:dataLabel>
            <cx:dataLabel idx="2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8</a:t>
                  </a:r>
                </a:p>
              </cx:txPr>
            </cx:dataLabel>
            <cx:dataLabel idx="2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9</a:t>
                  </a:r>
                </a:p>
              </cx:txPr>
            </cx:dataLabel>
            <cx:dataLabel idx="2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>
                      <a:solidFill>
                        <a:sysClr val="windowText" lastClr="000000"/>
                      </a:solidFill>
                    </a:defRPr>
                  </a:pPr>
                  <a:r>
                    <a:rPr lang="fr-FR" sz="2800" b="0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MODULE 10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_xlchart.v1.9</cx:f>
      </cx:numDim>
    </cx:data>
  </cx:chartData>
  <cx:chart>
    <cx:title pos="t" align="ctr" overlay="0">
      <cx:tx>
        <cx:txData>
          <cx:v>Périmètre SYNAPPS V3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4000"/>
          </a:pPr>
          <a:r>
            <a:rPr lang="fr-FR" sz="4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Périmètre SYNAPPS V3</a:t>
          </a:r>
        </a:p>
      </cx:txPr>
    </cx:title>
    <cx:plotArea>
      <cx:plotAreaRegion>
        <cx:series layoutId="treemap" uniqueId="{7E0AAA80-EA61-4E42-99B9-50938B7FB604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fr-FR" sz="12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plotArea>
      <cx:plotAreaRegion>
        <cx:series layoutId="treemap" uniqueId="{7E0AAA80-EA61-4E42-99B9-50938B7FB604}">
          <cx:spPr>
            <a:solidFill>
              <a:schemeClr val="accent2"/>
            </a:solidFill>
          </cx:spPr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>
                    <a:solidFill>
                      <a:schemeClr val="bg1"/>
                    </a:solidFill>
                    <a:latin typeface="+mn-lt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fr-FR" sz="1800" b="0" i="0" u="none" strike="noStrike" baseline="0">
                  <a:solidFill>
                    <a:schemeClr val="bg1"/>
                  </a:solidFill>
                  <a:latin typeface="+mn-lt"/>
                  <a:cs typeface="Calibri" panose="020F0502020204030204" pitchFamily="34" charset="0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4.xml"/><Relationship Id="rId1" Type="http://schemas.microsoft.com/office/2014/relationships/chartEx" Target="../charts/chartEx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7.xml"/><Relationship Id="rId1" Type="http://schemas.microsoft.com/office/2014/relationships/chartEx" Target="../charts/chartEx4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1006079</xdr:colOff>
      <xdr:row>70</xdr:row>
      <xdr:rowOff>11906</xdr:rowOff>
    </xdr:from>
    <xdr:to>
      <xdr:col>22</xdr:col>
      <xdr:colOff>299357</xdr:colOff>
      <xdr:row>98</xdr:row>
      <xdr:rowOff>129268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587828</xdr:colOff>
      <xdr:row>3</xdr:row>
      <xdr:rowOff>50209</xdr:rowOff>
    </xdr:from>
    <xdr:to>
      <xdr:col>22</xdr:col>
      <xdr:colOff>10948</xdr:colOff>
      <xdr:row>32</xdr:row>
      <xdr:rowOff>10885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1085" y="605380"/>
              <a:ext cx="9818977" cy="5327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751719</xdr:colOff>
      <xdr:row>104</xdr:row>
      <xdr:rowOff>4835</xdr:rowOff>
    </xdr:from>
    <xdr:to>
      <xdr:col>11</xdr:col>
      <xdr:colOff>839389</xdr:colOff>
      <xdr:row>120</xdr:row>
      <xdr:rowOff>53578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12629</xdr:colOff>
      <xdr:row>124</xdr:row>
      <xdr:rowOff>3611</xdr:rowOff>
    </xdr:from>
    <xdr:to>
      <xdr:col>11</xdr:col>
      <xdr:colOff>839390</xdr:colOff>
      <xdr:row>141</xdr:row>
      <xdr:rowOff>125016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225593</xdr:colOff>
      <xdr:row>2</xdr:row>
      <xdr:rowOff>131594</xdr:rowOff>
    </xdr:from>
    <xdr:to>
      <xdr:col>31</xdr:col>
      <xdr:colOff>61232</xdr:colOff>
      <xdr:row>49</xdr:row>
      <xdr:rowOff>81642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0553" y="497354"/>
              <a:ext cx="22817559" cy="8545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736365</xdr:colOff>
      <xdr:row>153</xdr:row>
      <xdr:rowOff>154944</xdr:rowOff>
    </xdr:from>
    <xdr:to>
      <xdr:col>21</xdr:col>
      <xdr:colOff>748375</xdr:colOff>
      <xdr:row>191</xdr:row>
      <xdr:rowOff>47625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761999</xdr:colOff>
      <xdr:row>209</xdr:row>
      <xdr:rowOff>0</xdr:rowOff>
    </xdr:from>
    <xdr:to>
      <xdr:col>29</xdr:col>
      <xdr:colOff>707570</xdr:colOff>
      <xdr:row>259</xdr:row>
      <xdr:rowOff>68932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aphique 10">
              <a:extLst>
                <a:ext uri="{FF2B5EF4-FFF2-40B4-BE49-F238E27FC236}">
                  <a16:creationId xmlns:a16="http://schemas.microsoft.com/office/drawing/2014/main" id="{E642A8A5-F959-40E2-9BDF-A94C447E6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9" y="38221920"/>
              <a:ext cx="22927491" cy="92129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</xdr:col>
      <xdr:colOff>238125</xdr:colOff>
      <xdr:row>108</xdr:row>
      <xdr:rowOff>130968</xdr:rowOff>
    </xdr:from>
    <xdr:to>
      <xdr:col>31</xdr:col>
      <xdr:colOff>369094</xdr:colOff>
      <xdr:row>143</xdr:row>
      <xdr:rowOff>59528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80CB827-F20E-46E0-BD21-3EB45F7CA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122470</xdr:colOff>
      <xdr:row>57</xdr:row>
      <xdr:rowOff>183694</xdr:rowOff>
    </xdr:from>
    <xdr:to>
      <xdr:col>21</xdr:col>
      <xdr:colOff>653149</xdr:colOff>
      <xdr:row>95</xdr:row>
      <xdr:rowOff>88445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26BE7831-3B9E-4E05-9745-377DB94C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225592</xdr:colOff>
      <xdr:row>2</xdr:row>
      <xdr:rowOff>131594</xdr:rowOff>
    </xdr:from>
    <xdr:to>
      <xdr:col>30</xdr:col>
      <xdr:colOff>394786</xdr:colOff>
      <xdr:row>53</xdr:row>
      <xdr:rowOff>18799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5CC78431-E5E8-4725-884E-4E0F1E6FE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5512" y="497354"/>
              <a:ext cx="20773674" cy="9214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</xdr:col>
      <xdr:colOff>259771</xdr:colOff>
      <xdr:row>64</xdr:row>
      <xdr:rowOff>150091</xdr:rowOff>
    </xdr:from>
    <xdr:to>
      <xdr:col>12</xdr:col>
      <xdr:colOff>129887</xdr:colOff>
      <xdr:row>99</xdr:row>
      <xdr:rowOff>43293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9FBC90B-27BC-4A3D-9B37-8B2F4977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317498</xdr:colOff>
      <xdr:row>64</xdr:row>
      <xdr:rowOff>103909</xdr:rowOff>
    </xdr:from>
    <xdr:to>
      <xdr:col>43</xdr:col>
      <xdr:colOff>129884</xdr:colOff>
      <xdr:row>136</xdr:row>
      <xdr:rowOff>43295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phique 8">
              <a:extLst>
                <a:ext uri="{FF2B5EF4-FFF2-40B4-BE49-F238E27FC236}">
                  <a16:creationId xmlns:a16="http://schemas.microsoft.com/office/drawing/2014/main" id="{11584B4B-65E5-47EA-BB64-5DB42EA995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7258" y="11808229"/>
              <a:ext cx="24379266" cy="131067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</xdr:col>
      <xdr:colOff>303069</xdr:colOff>
      <xdr:row>99</xdr:row>
      <xdr:rowOff>167405</xdr:rowOff>
    </xdr:from>
    <xdr:to>
      <xdr:col>12</xdr:col>
      <xdr:colOff>144319</xdr:colOff>
      <xdr:row>135</xdr:row>
      <xdr:rowOff>158749</xdr:rowOff>
    </xdr:to>
    <xdr:graphicFrame macro="">
      <xdr:nvGraphicFramePr>
        <xdr:cNvPr id="12" name="Chart 8">
          <a:extLst>
            <a:ext uri="{FF2B5EF4-FFF2-40B4-BE49-F238E27FC236}">
              <a16:creationId xmlns:a16="http://schemas.microsoft.com/office/drawing/2014/main" id="{B69DBF90-7885-4384-B963-4277ADCF8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279979</xdr:colOff>
      <xdr:row>136</xdr:row>
      <xdr:rowOff>92362</xdr:rowOff>
    </xdr:from>
    <xdr:to>
      <xdr:col>43</xdr:col>
      <xdr:colOff>144317</xdr:colOff>
      <xdr:row>179</xdr:row>
      <xdr:rowOff>86590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D83D92B-E5E7-46D5-98A6-AC56C112B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802821</xdr:colOff>
      <xdr:row>18</xdr:row>
      <xdr:rowOff>25853</xdr:rowOff>
    </xdr:from>
    <xdr:to>
      <xdr:col>15</xdr:col>
      <xdr:colOff>13607</xdr:colOff>
      <xdr:row>37</xdr:row>
      <xdr:rowOff>95249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782413</xdr:colOff>
      <xdr:row>43</xdr:row>
      <xdr:rowOff>20411</xdr:rowOff>
    </xdr:from>
    <xdr:to>
      <xdr:col>15</xdr:col>
      <xdr:colOff>2</xdr:colOff>
      <xdr:row>62</xdr:row>
      <xdr:rowOff>91849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27212</xdr:colOff>
      <xdr:row>39</xdr:row>
      <xdr:rowOff>136073</xdr:rowOff>
    </xdr:from>
    <xdr:to>
      <xdr:col>29</xdr:col>
      <xdr:colOff>789212</xdr:colOff>
      <xdr:row>65</xdr:row>
      <xdr:rowOff>61234</xdr:rowOff>
    </xdr:to>
    <xdr:grpSp>
      <xdr:nvGrpSpPr>
        <xdr:cNvPr id="9" name="Group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12895073" y="7371760"/>
          <a:ext cx="11284226" cy="4748952"/>
          <a:chOff x="1347107" y="12436929"/>
          <a:chExt cx="11171464" cy="4871358"/>
        </a:xfrm>
      </xdr:grpSpPr>
      <xdr:graphicFrame macro="">
        <xdr:nvGraphicFramePr>
          <xdr:cNvPr id="11" name="Graphiqu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GraphicFramePr>
            <a:graphicFrameLocks/>
          </xdr:cNvGraphicFramePr>
        </xdr:nvGraphicFramePr>
        <xdr:xfrm>
          <a:off x="1347107" y="12436929"/>
          <a:ext cx="11171464" cy="48713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12" name="Connecteur droit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 flipV="1">
            <a:off x="2231572" y="12518534"/>
            <a:ext cx="5024644" cy="3850859"/>
          </a:xfrm>
          <a:prstGeom prst="line">
            <a:avLst/>
          </a:prstGeom>
          <a:ln w="25400">
            <a:solidFill>
              <a:srgbClr val="00B05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Connecteur droit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/>
        </xdr:nvCxnSpPr>
        <xdr:spPr>
          <a:xfrm flipV="1">
            <a:off x="2217964" y="12816060"/>
            <a:ext cx="6264713" cy="3580549"/>
          </a:xfrm>
          <a:prstGeom prst="line">
            <a:avLst/>
          </a:prstGeom>
          <a:ln w="285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339587</xdr:colOff>
      <xdr:row>39</xdr:row>
      <xdr:rowOff>57978</xdr:rowOff>
    </xdr:from>
    <xdr:to>
      <xdr:col>26</xdr:col>
      <xdr:colOff>484533</xdr:colOff>
      <xdr:row>64</xdr:row>
      <xdr:rowOff>128380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17E4E05-5580-FB41-5996-0902766977E1}"/>
            </a:ext>
          </a:extLst>
        </xdr:cNvPr>
        <xdr:cNvSpPr/>
      </xdr:nvSpPr>
      <xdr:spPr>
        <a:xfrm>
          <a:off x="19107978" y="7487478"/>
          <a:ext cx="1751772" cy="48329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AD8924-8DC0-414A-B2E9-7742CA406E99}">
  <we:reference id="wa104168603" version="1.0.0.6" store="fr-FR" storeType="OMEX"/>
  <we:alternateReferences>
    <we:reference id="WA104168603" version="1.0.0.6" store="WA104168603" storeType="OMEX"/>
  </we:alternateReferences>
  <we:properties>
    <we:property name="savedSettings" value="{&quot;state&quot;:{&quot;seed&quot;:134256,&quot;currentseed&quot;:null,&quot;powerbi&quot;:{&quot;datasetId&quot;:null,&quot;tableName&quot;:null,&quot;datasetName&quot;:null},&quot;powerBILoaded&quot;:false,&quot;VisualizationName&quot;:&quot;Tree Map&quot;,&quot;category&quot;:&quot;Country&quot;,&quot;aggregate&quot;:&quot;Sum&quot;,&quot;measure&quot;:&quot;Sales_Amount&quot;},&quot;date&quot;:&quot;Thu, 16 Mar 2017 17:56:31 GMT&quot;,&quot;appVersion&quot;:&quot;1.140.6206.22452, 28-12-2016 12:28:24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0"/>
  <sheetViews>
    <sheetView tabSelected="1" topLeftCell="B50" zoomScale="70" zoomScaleNormal="70" workbookViewId="0">
      <selection activeCell="Y27" sqref="Y27"/>
    </sheetView>
  </sheetViews>
  <sheetFormatPr baseColWidth="10" defaultRowHeight="14.4" x14ac:dyDescent="0.3"/>
  <cols>
    <col min="1" max="1" width="19.88671875" customWidth="1"/>
    <col min="3" max="3" width="14.33203125" bestFit="1" customWidth="1"/>
    <col min="4" max="4" width="19.5546875" bestFit="1" customWidth="1"/>
    <col min="5" max="5" width="9.33203125" bestFit="1" customWidth="1"/>
    <col min="6" max="6" width="13.88671875" bestFit="1" customWidth="1"/>
    <col min="8" max="8" width="13.109375" bestFit="1" customWidth="1"/>
    <col min="9" max="9" width="12.6640625" bestFit="1" customWidth="1"/>
    <col min="11" max="11" width="13" bestFit="1" customWidth="1"/>
    <col min="12" max="12" width="12.44140625" bestFit="1" customWidth="1"/>
    <col min="14" max="14" width="11.33203125" bestFit="1" customWidth="1"/>
    <col min="15" max="15" width="10.6640625" customWidth="1"/>
    <col min="24" max="24" width="11.5546875" customWidth="1"/>
    <col min="25" max="25" width="15.5546875" customWidth="1"/>
  </cols>
  <sheetData>
    <row r="1" spans="1:23" x14ac:dyDescent="0.3">
      <c r="A1" s="37" t="s">
        <v>85</v>
      </c>
      <c r="B1" s="37"/>
    </row>
    <row r="3" spans="1:23" x14ac:dyDescent="0.3">
      <c r="B3" s="8"/>
      <c r="C3" s="8" t="s">
        <v>81</v>
      </c>
      <c r="D3" s="8" t="s">
        <v>22</v>
      </c>
      <c r="E3" s="8" t="s">
        <v>23</v>
      </c>
      <c r="F3" s="8" t="s">
        <v>91</v>
      </c>
      <c r="Q3" s="14"/>
      <c r="V3" s="9"/>
      <c r="W3" s="14"/>
    </row>
    <row r="4" spans="1:23" x14ac:dyDescent="0.3">
      <c r="B4" s="8"/>
      <c r="C4" s="39" t="s">
        <v>93</v>
      </c>
      <c r="D4" s="39" t="s">
        <v>95</v>
      </c>
      <c r="E4" s="36">
        <v>1</v>
      </c>
      <c r="F4" s="58">
        <f>'Données '!S46</f>
        <v>0</v>
      </c>
      <c r="Q4" s="2"/>
      <c r="V4" s="9"/>
      <c r="W4" s="14"/>
    </row>
    <row r="5" spans="1:23" x14ac:dyDescent="0.3">
      <c r="B5" s="8"/>
      <c r="C5" s="39"/>
      <c r="D5" s="39" t="s">
        <v>94</v>
      </c>
      <c r="E5" s="36">
        <v>2</v>
      </c>
      <c r="F5" s="58">
        <f>'Données '!S47</f>
        <v>0</v>
      </c>
      <c r="Q5" s="14"/>
      <c r="V5" s="9"/>
      <c r="W5" s="14"/>
    </row>
    <row r="6" spans="1:23" x14ac:dyDescent="0.3">
      <c r="B6" s="8"/>
      <c r="C6" s="39"/>
      <c r="D6" s="39"/>
      <c r="E6" s="36"/>
      <c r="F6" s="58"/>
      <c r="Q6" s="2"/>
      <c r="V6" s="9"/>
      <c r="W6" s="14"/>
    </row>
    <row r="7" spans="1:23" x14ac:dyDescent="0.3">
      <c r="B7" s="8"/>
      <c r="C7" s="39"/>
      <c r="D7" s="39"/>
      <c r="E7" s="36"/>
      <c r="F7" s="58"/>
      <c r="Q7" s="2"/>
    </row>
    <row r="8" spans="1:23" x14ac:dyDescent="0.3">
      <c r="B8" s="8"/>
      <c r="C8" s="39"/>
      <c r="D8" s="39"/>
      <c r="E8" s="36"/>
      <c r="F8" s="58"/>
      <c r="Q8" s="14"/>
      <c r="V8" s="9"/>
      <c r="W8" s="14"/>
    </row>
    <row r="9" spans="1:23" x14ac:dyDescent="0.3">
      <c r="B9" s="8"/>
      <c r="C9" s="39"/>
      <c r="D9" s="39"/>
      <c r="E9" s="36"/>
      <c r="F9" s="58"/>
      <c r="Q9" s="2"/>
      <c r="V9" s="9"/>
      <c r="W9" s="14"/>
    </row>
    <row r="10" spans="1:23" x14ac:dyDescent="0.3">
      <c r="B10" s="8"/>
      <c r="C10" s="39"/>
      <c r="D10" s="39"/>
      <c r="E10" s="36"/>
      <c r="F10" s="58"/>
      <c r="Q10" s="14"/>
      <c r="V10" s="9"/>
      <c r="W10" s="14"/>
    </row>
    <row r="11" spans="1:23" x14ac:dyDescent="0.3">
      <c r="B11" s="8"/>
      <c r="C11" s="39"/>
      <c r="D11" s="39"/>
      <c r="E11" s="36"/>
      <c r="F11" s="58"/>
      <c r="Q11" s="2"/>
      <c r="V11" s="9"/>
      <c r="W11" s="14"/>
    </row>
    <row r="12" spans="1:23" x14ac:dyDescent="0.3">
      <c r="B12" s="8"/>
      <c r="C12" s="39"/>
      <c r="D12" s="39"/>
      <c r="E12" s="36"/>
      <c r="F12" s="58"/>
      <c r="Q12" s="14"/>
      <c r="V12" s="9"/>
      <c r="W12" s="14"/>
    </row>
    <row r="13" spans="1:23" x14ac:dyDescent="0.3">
      <c r="B13" s="8"/>
      <c r="C13" s="39"/>
      <c r="D13" s="39"/>
      <c r="E13" s="36"/>
      <c r="F13" s="58"/>
      <c r="Q13" s="2"/>
      <c r="V13" s="9"/>
      <c r="W13" s="14"/>
    </row>
    <row r="14" spans="1:23" x14ac:dyDescent="0.3">
      <c r="B14" s="8"/>
      <c r="C14" s="39"/>
      <c r="D14" s="39"/>
      <c r="E14" s="36"/>
      <c r="F14" s="58"/>
    </row>
    <row r="15" spans="1:23" x14ac:dyDescent="0.3">
      <c r="B15" s="8"/>
      <c r="C15" s="39"/>
      <c r="D15" s="39"/>
      <c r="E15" s="36"/>
      <c r="F15" s="58"/>
      <c r="W15" s="14"/>
    </row>
    <row r="16" spans="1:23" x14ac:dyDescent="0.3">
      <c r="B16" s="8"/>
      <c r="C16" s="39"/>
      <c r="D16" s="39"/>
      <c r="E16" s="36"/>
      <c r="F16" s="58"/>
    </row>
    <row r="17" spans="2:17" x14ac:dyDescent="0.3">
      <c r="B17" s="8"/>
      <c r="C17" s="39"/>
      <c r="D17" s="39"/>
      <c r="E17" s="36"/>
      <c r="F17" s="58"/>
    </row>
    <row r="18" spans="2:17" x14ac:dyDescent="0.3">
      <c r="B18" s="8"/>
      <c r="C18" s="39"/>
      <c r="D18" s="39"/>
      <c r="E18" s="36"/>
      <c r="F18" s="58"/>
    </row>
    <row r="19" spans="2:17" x14ac:dyDescent="0.3">
      <c r="B19" s="8"/>
      <c r="C19" s="39"/>
      <c r="D19" s="39"/>
      <c r="E19" s="36"/>
      <c r="F19" s="58"/>
    </row>
    <row r="20" spans="2:17" x14ac:dyDescent="0.3">
      <c r="B20" s="8"/>
      <c r="C20" s="39"/>
      <c r="D20" s="39"/>
      <c r="E20" s="36"/>
      <c r="F20" s="58"/>
      <c r="Q20" s="2"/>
    </row>
    <row r="21" spans="2:17" x14ac:dyDescent="0.3">
      <c r="B21" s="8"/>
      <c r="C21" s="39"/>
      <c r="D21" s="39"/>
      <c r="E21" s="36"/>
      <c r="F21" s="58"/>
      <c r="Q21" s="2"/>
    </row>
    <row r="22" spans="2:17" x14ac:dyDescent="0.3">
      <c r="B22" s="8"/>
      <c r="C22" s="39"/>
      <c r="D22" s="39"/>
      <c r="E22" s="36"/>
      <c r="F22" s="58"/>
      <c r="Q22" s="2"/>
    </row>
    <row r="23" spans="2:17" x14ac:dyDescent="0.3">
      <c r="B23" s="8"/>
      <c r="C23" s="39"/>
      <c r="D23" s="39"/>
      <c r="E23" s="36"/>
      <c r="F23" s="58"/>
      <c r="Q23" s="2"/>
    </row>
    <row r="24" spans="2:17" x14ac:dyDescent="0.3">
      <c r="B24" s="8"/>
      <c r="C24" s="39"/>
      <c r="D24" s="39"/>
      <c r="E24" s="36"/>
      <c r="F24" s="58"/>
    </row>
    <row r="25" spans="2:17" x14ac:dyDescent="0.3">
      <c r="B25" s="8"/>
      <c r="C25" s="39"/>
    </row>
    <row r="26" spans="2:17" x14ac:dyDescent="0.3">
      <c r="B26" s="8"/>
      <c r="C26" s="39"/>
    </row>
    <row r="27" spans="2:17" x14ac:dyDescent="0.3">
      <c r="B27" s="8"/>
      <c r="C27" s="39"/>
      <c r="Q27" s="2"/>
    </row>
    <row r="28" spans="2:17" x14ac:dyDescent="0.3">
      <c r="B28" s="8"/>
      <c r="C28" s="39"/>
      <c r="Q28" s="2"/>
    </row>
    <row r="29" spans="2:17" x14ac:dyDescent="0.3">
      <c r="B29" s="8"/>
      <c r="C29" s="39"/>
      <c r="Q29" s="2"/>
    </row>
    <row r="30" spans="2:17" x14ac:dyDescent="0.3">
      <c r="B30" s="8"/>
      <c r="C30" s="39"/>
      <c r="Q30" s="2"/>
    </row>
    <row r="31" spans="2:17" x14ac:dyDescent="0.3">
      <c r="B31" s="8"/>
      <c r="C31" s="39"/>
      <c r="Q31" s="2"/>
    </row>
    <row r="32" spans="2:17" x14ac:dyDescent="0.3">
      <c r="B32" s="8"/>
      <c r="C32" s="39"/>
      <c r="Q32" s="2"/>
    </row>
    <row r="33" spans="1:28" x14ac:dyDescent="0.3">
      <c r="B33" s="8"/>
      <c r="C33" s="39"/>
      <c r="Q33" s="2"/>
    </row>
    <row r="34" spans="1:28" x14ac:dyDescent="0.3">
      <c r="B34" s="8"/>
      <c r="C34" s="39"/>
      <c r="Q34" s="2"/>
    </row>
    <row r="35" spans="1:28" x14ac:dyDescent="0.3">
      <c r="B35" s="8"/>
      <c r="C35" s="39"/>
      <c r="Q35" s="2"/>
    </row>
    <row r="36" spans="1:28" x14ac:dyDescent="0.3">
      <c r="B36" s="8"/>
      <c r="C36" s="39"/>
      <c r="Q36" s="2"/>
    </row>
    <row r="37" spans="1:28" x14ac:dyDescent="0.3">
      <c r="B37" s="17"/>
    </row>
    <row r="38" spans="1:28" x14ac:dyDescent="0.3">
      <c r="B38" s="17"/>
      <c r="D38" s="10"/>
      <c r="E38" s="17"/>
      <c r="F38" s="4"/>
    </row>
    <row r="39" spans="1:28" x14ac:dyDescent="0.3">
      <c r="B39" s="17"/>
      <c r="D39" s="10"/>
      <c r="E39" s="17"/>
      <c r="F39" s="4"/>
    </row>
    <row r="40" spans="1:28" x14ac:dyDescent="0.3">
      <c r="B40" s="17"/>
      <c r="D40" s="10"/>
      <c r="E40" s="17"/>
      <c r="F40" s="4"/>
    </row>
    <row r="41" spans="1:28" x14ac:dyDescent="0.3">
      <c r="A41" s="59" t="s">
        <v>84</v>
      </c>
      <c r="B41" s="59"/>
      <c r="C41" s="59"/>
    </row>
    <row r="43" spans="1:28" x14ac:dyDescent="0.3"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28" x14ac:dyDescent="0.3">
      <c r="E44" s="60" t="s">
        <v>4</v>
      </c>
      <c r="F44" s="61"/>
      <c r="G44" s="61"/>
      <c r="H44" s="61"/>
      <c r="I44" s="62"/>
      <c r="J44" s="60" t="s">
        <v>3</v>
      </c>
      <c r="K44" s="61"/>
      <c r="L44" s="61"/>
      <c r="M44" s="62"/>
      <c r="N44" s="8"/>
    </row>
    <row r="45" spans="1:28" x14ac:dyDescent="0.3">
      <c r="D45" s="8" t="s">
        <v>22</v>
      </c>
      <c r="E45" s="30" t="s">
        <v>4</v>
      </c>
      <c r="F45" s="8" t="s">
        <v>0</v>
      </c>
      <c r="G45" s="8" t="s">
        <v>1</v>
      </c>
      <c r="H45" s="8" t="s">
        <v>5</v>
      </c>
      <c r="I45" s="31" t="s">
        <v>8</v>
      </c>
      <c r="J45" s="30" t="s">
        <v>7</v>
      </c>
      <c r="K45" s="8" t="s">
        <v>88</v>
      </c>
      <c r="L45" s="8" t="s">
        <v>9</v>
      </c>
      <c r="M45" s="31" t="s">
        <v>10</v>
      </c>
      <c r="N45" s="45" t="s">
        <v>2</v>
      </c>
      <c r="O45" s="24" t="s">
        <v>14</v>
      </c>
      <c r="P45" s="23" t="s">
        <v>15</v>
      </c>
      <c r="Q45" s="25" t="s">
        <v>16</v>
      </c>
      <c r="R45" s="26" t="s">
        <v>17</v>
      </c>
      <c r="S45" s="8" t="s">
        <v>91</v>
      </c>
      <c r="T45" s="8" t="s">
        <v>18</v>
      </c>
      <c r="U45" s="8" t="s">
        <v>19</v>
      </c>
      <c r="V45" s="8" t="s">
        <v>20</v>
      </c>
      <c r="W45" s="8" t="s">
        <v>21</v>
      </c>
      <c r="X45" s="8" t="s">
        <v>12</v>
      </c>
      <c r="Y45" s="8" t="s">
        <v>6</v>
      </c>
      <c r="Z45" s="8" t="s">
        <v>13</v>
      </c>
      <c r="AA45" s="8" t="s">
        <v>11</v>
      </c>
      <c r="AB45" s="8" t="s">
        <v>7</v>
      </c>
    </row>
    <row r="46" spans="1:28" x14ac:dyDescent="0.3">
      <c r="C46" s="13" t="str">
        <f t="shared" ref="C46:D59" si="0">C4</f>
        <v>Sprint 1</v>
      </c>
      <c r="D46" s="13" t="str">
        <f t="shared" si="0"/>
        <v>US-07 Faire une demande de réservation (P1)</v>
      </c>
      <c r="E46" s="40">
        <v>12</v>
      </c>
      <c r="F46" s="41">
        <v>10</v>
      </c>
      <c r="G46" s="41">
        <v>2</v>
      </c>
      <c r="H46" s="41">
        <v>0</v>
      </c>
      <c r="I46" s="52">
        <f t="shared" ref="I46:I47" si="1">E46-(F46+G46+H46)</f>
        <v>0</v>
      </c>
      <c r="J46" s="38">
        <f>SUM(K46:M46)</f>
        <v>3</v>
      </c>
      <c r="K46" s="42">
        <v>0</v>
      </c>
      <c r="L46" s="41">
        <v>2</v>
      </c>
      <c r="M46" s="43">
        <v>1</v>
      </c>
      <c r="N46" s="46">
        <v>1</v>
      </c>
      <c r="O46" s="19">
        <f t="shared" ref="O46:O47" si="2">F46/$E46</f>
        <v>0.83333333333333337</v>
      </c>
      <c r="P46" s="19">
        <f t="shared" ref="P46:P47" si="3">G46/$E46</f>
        <v>0.16666666666666666</v>
      </c>
      <c r="Q46" s="19">
        <f t="shared" ref="Q46:Q47" si="4">H46/$E46</f>
        <v>0</v>
      </c>
      <c r="R46" s="19">
        <f t="shared" ref="R46:R47" si="5">I46/$E46</f>
        <v>0</v>
      </c>
      <c r="S46" s="58">
        <f t="shared" ref="S46:S47" si="6">IF(AND(O46+Q46&gt;=N46,ISBLANK(K46),ISBLANK(L46)),1,0)</f>
        <v>0</v>
      </c>
      <c r="T46" s="57">
        <v>1</v>
      </c>
      <c r="U46" s="19">
        <f t="shared" ref="U46:U47" si="7">SUM(F46:H46)/E46</f>
        <v>1</v>
      </c>
      <c r="V46" s="20">
        <f t="shared" ref="V46:V47" si="8">T46-U46</f>
        <v>0</v>
      </c>
      <c r="W46" s="19">
        <f t="shared" ref="W46:W47" si="9">100%-T46</f>
        <v>0</v>
      </c>
      <c r="X46" s="13">
        <f t="shared" ref="X46:X47" si="10">E46*T46</f>
        <v>12</v>
      </c>
      <c r="Y46" s="13">
        <f t="shared" ref="Y46:Y47" si="11">SUM(F46:H46)</f>
        <v>12</v>
      </c>
      <c r="Z46" s="13">
        <f t="shared" ref="Z46:Z47" si="12">X46-Y46</f>
        <v>0</v>
      </c>
      <c r="AA46" s="21">
        <f t="shared" ref="AA46:AA47" si="13">E46-X46</f>
        <v>0</v>
      </c>
      <c r="AB46" s="22">
        <f t="shared" ref="AB46:AB47" si="14">SUM(Y46:AA46)</f>
        <v>12</v>
      </c>
    </row>
    <row r="47" spans="1:28" x14ac:dyDescent="0.3">
      <c r="C47" s="13">
        <f t="shared" si="0"/>
        <v>0</v>
      </c>
      <c r="D47" s="13" t="str">
        <f t="shared" si="0"/>
        <v>US-08 Traiter une demande de réservation (P2)</v>
      </c>
      <c r="E47" s="40">
        <v>20</v>
      </c>
      <c r="F47" s="41">
        <v>17</v>
      </c>
      <c r="G47" s="41">
        <v>3</v>
      </c>
      <c r="H47" s="41">
        <v>0</v>
      </c>
      <c r="I47" s="52">
        <f t="shared" si="1"/>
        <v>0</v>
      </c>
      <c r="J47" s="38">
        <f t="shared" ref="J47" si="15">SUM(K47:M47)</f>
        <v>2</v>
      </c>
      <c r="K47" s="42">
        <v>2</v>
      </c>
      <c r="L47" s="41">
        <v>0</v>
      </c>
      <c r="M47" s="43">
        <v>0</v>
      </c>
      <c r="N47" s="46">
        <v>0.8</v>
      </c>
      <c r="O47" s="19">
        <f t="shared" si="2"/>
        <v>0.85</v>
      </c>
      <c r="P47" s="19">
        <f t="shared" si="3"/>
        <v>0.15</v>
      </c>
      <c r="Q47" s="19">
        <f t="shared" si="4"/>
        <v>0</v>
      </c>
      <c r="R47" s="19">
        <f t="shared" si="5"/>
        <v>0</v>
      </c>
      <c r="S47" s="58">
        <f t="shared" si="6"/>
        <v>0</v>
      </c>
      <c r="T47" s="57">
        <v>1</v>
      </c>
      <c r="U47" s="19">
        <f t="shared" si="7"/>
        <v>1</v>
      </c>
      <c r="V47" s="20">
        <f t="shared" si="8"/>
        <v>0</v>
      </c>
      <c r="W47" s="19">
        <f t="shared" si="9"/>
        <v>0</v>
      </c>
      <c r="X47" s="13">
        <f t="shared" si="10"/>
        <v>20</v>
      </c>
      <c r="Y47" s="13">
        <f t="shared" si="11"/>
        <v>20</v>
      </c>
      <c r="Z47" s="13">
        <f t="shared" si="12"/>
        <v>0</v>
      </c>
      <c r="AA47" s="21">
        <f t="shared" si="13"/>
        <v>0</v>
      </c>
      <c r="AB47" s="22">
        <f t="shared" si="14"/>
        <v>20</v>
      </c>
    </row>
    <row r="48" spans="1:28" x14ac:dyDescent="0.3">
      <c r="C48" s="13">
        <f t="shared" si="0"/>
        <v>0</v>
      </c>
      <c r="D48" s="13"/>
      <c r="E48" s="40"/>
      <c r="F48" s="41"/>
      <c r="G48" s="41"/>
      <c r="H48" s="41"/>
      <c r="I48" s="52"/>
      <c r="J48" s="38"/>
      <c r="K48" s="42"/>
      <c r="L48" s="41"/>
      <c r="M48" s="43"/>
      <c r="N48" s="46"/>
      <c r="O48" s="19"/>
      <c r="P48" s="19"/>
      <c r="Q48" s="19"/>
      <c r="R48" s="19"/>
      <c r="S48" s="58"/>
      <c r="T48" s="57"/>
      <c r="U48" s="19"/>
      <c r="V48" s="20"/>
      <c r="W48" s="19"/>
      <c r="X48" s="13"/>
      <c r="Y48" s="13"/>
      <c r="Z48" s="13"/>
      <c r="AA48" s="21"/>
      <c r="AB48" s="22"/>
    </row>
    <row r="49" spans="3:28" x14ac:dyDescent="0.3">
      <c r="C49" s="13">
        <f t="shared" si="0"/>
        <v>0</v>
      </c>
      <c r="D49" s="13"/>
      <c r="E49" s="40"/>
      <c r="F49" s="41"/>
      <c r="G49" s="41"/>
      <c r="H49" s="41"/>
      <c r="I49" s="52"/>
      <c r="J49" s="38"/>
      <c r="K49" s="42"/>
      <c r="L49" s="42"/>
      <c r="M49" s="44"/>
      <c r="N49" s="46"/>
      <c r="O49" s="19"/>
      <c r="P49" s="19"/>
      <c r="Q49" s="19"/>
      <c r="R49" s="19"/>
      <c r="S49" s="58"/>
      <c r="T49" s="57"/>
      <c r="U49" s="19"/>
      <c r="V49" s="20"/>
      <c r="W49" s="19"/>
      <c r="X49" s="13"/>
      <c r="Y49" s="13"/>
      <c r="Z49" s="13"/>
      <c r="AA49" s="21"/>
      <c r="AB49" s="22"/>
    </row>
    <row r="50" spans="3:28" x14ac:dyDescent="0.3">
      <c r="C50" s="13">
        <f t="shared" si="0"/>
        <v>0</v>
      </c>
      <c r="D50" s="13"/>
      <c r="E50" s="40"/>
      <c r="F50" s="41"/>
      <c r="G50" s="41"/>
      <c r="H50" s="41"/>
      <c r="I50" s="52"/>
      <c r="J50" s="38"/>
      <c r="K50" s="42"/>
      <c r="L50" s="42"/>
      <c r="M50" s="44"/>
      <c r="N50" s="46"/>
      <c r="O50" s="19"/>
      <c r="P50" s="19"/>
      <c r="Q50" s="19"/>
      <c r="R50" s="19"/>
      <c r="S50" s="58"/>
      <c r="T50" s="57"/>
      <c r="U50" s="19"/>
      <c r="V50" s="20"/>
      <c r="W50" s="19"/>
      <c r="X50" s="13"/>
      <c r="Y50" s="13"/>
      <c r="Z50" s="13"/>
      <c r="AA50" s="21"/>
      <c r="AB50" s="22"/>
    </row>
    <row r="51" spans="3:28" x14ac:dyDescent="0.3">
      <c r="C51" s="13">
        <f t="shared" si="0"/>
        <v>0</v>
      </c>
      <c r="D51" s="13"/>
      <c r="E51" s="40"/>
      <c r="F51" s="41"/>
      <c r="G51" s="41"/>
      <c r="H51" s="41"/>
      <c r="I51" s="52"/>
      <c r="J51" s="38"/>
      <c r="K51" s="42"/>
      <c r="L51" s="42"/>
      <c r="M51" s="44"/>
      <c r="N51" s="46"/>
      <c r="O51" s="19"/>
      <c r="P51" s="19"/>
      <c r="Q51" s="19"/>
      <c r="R51" s="19"/>
      <c r="S51" s="58"/>
      <c r="T51" s="57"/>
      <c r="U51" s="19"/>
      <c r="V51" s="20"/>
      <c r="W51" s="19"/>
      <c r="X51" s="13"/>
      <c r="Y51" s="13"/>
      <c r="Z51" s="13"/>
      <c r="AA51" s="21"/>
      <c r="AB51" s="22"/>
    </row>
    <row r="52" spans="3:28" x14ac:dyDescent="0.3">
      <c r="C52" s="13">
        <f t="shared" si="0"/>
        <v>0</v>
      </c>
      <c r="D52" s="13"/>
      <c r="E52" s="40"/>
      <c r="F52" s="41"/>
      <c r="G52" s="41"/>
      <c r="H52" s="41"/>
      <c r="I52" s="52"/>
      <c r="J52" s="38"/>
      <c r="K52" s="42"/>
      <c r="L52" s="42"/>
      <c r="M52" s="44"/>
      <c r="N52" s="46"/>
      <c r="O52" s="19"/>
      <c r="P52" s="19"/>
      <c r="Q52" s="19"/>
      <c r="R52" s="19"/>
      <c r="S52" s="58"/>
      <c r="T52" s="57"/>
      <c r="U52" s="19"/>
      <c r="V52" s="20"/>
      <c r="W52" s="19"/>
      <c r="X52" s="13"/>
      <c r="Y52" s="13"/>
      <c r="Z52" s="13"/>
      <c r="AA52" s="21"/>
      <c r="AB52" s="22"/>
    </row>
    <row r="53" spans="3:28" x14ac:dyDescent="0.3">
      <c r="C53" s="13">
        <f t="shared" si="0"/>
        <v>0</v>
      </c>
      <c r="D53" s="13"/>
      <c r="E53" s="40"/>
      <c r="F53" s="41"/>
      <c r="G53" s="41"/>
      <c r="H53" s="41"/>
      <c r="I53" s="52"/>
      <c r="J53" s="38"/>
      <c r="K53" s="42"/>
      <c r="L53" s="41"/>
      <c r="M53" s="43"/>
      <c r="N53" s="46"/>
      <c r="O53" s="19"/>
      <c r="P53" s="19"/>
      <c r="Q53" s="19"/>
      <c r="R53" s="19"/>
      <c r="S53" s="58"/>
      <c r="T53" s="57"/>
      <c r="U53" s="19"/>
      <c r="V53" s="20"/>
      <c r="W53" s="19"/>
      <c r="X53" s="13"/>
      <c r="Y53" s="13"/>
      <c r="Z53" s="13"/>
      <c r="AA53" s="21"/>
      <c r="AB53" s="22"/>
    </row>
    <row r="54" spans="3:28" x14ac:dyDescent="0.3">
      <c r="C54" s="13">
        <f t="shared" si="0"/>
        <v>0</v>
      </c>
      <c r="D54" s="13"/>
      <c r="E54" s="40"/>
      <c r="F54" s="41"/>
      <c r="G54" s="41"/>
      <c r="H54" s="41"/>
      <c r="I54" s="52"/>
      <c r="J54" s="38"/>
      <c r="K54" s="42"/>
      <c r="L54" s="41"/>
      <c r="M54" s="43"/>
      <c r="N54" s="46"/>
      <c r="O54" s="19"/>
      <c r="P54" s="19"/>
      <c r="Q54" s="19"/>
      <c r="R54" s="19"/>
      <c r="S54" s="58"/>
      <c r="T54" s="57"/>
      <c r="U54" s="19"/>
      <c r="V54" s="20"/>
      <c r="W54" s="19"/>
      <c r="X54" s="13"/>
      <c r="Y54" s="13"/>
      <c r="Z54" s="13"/>
      <c r="AA54" s="21"/>
      <c r="AB54" s="22"/>
    </row>
    <row r="55" spans="3:28" x14ac:dyDescent="0.3">
      <c r="C55" s="13">
        <f t="shared" si="0"/>
        <v>0</v>
      </c>
      <c r="D55" s="13"/>
      <c r="E55" s="40"/>
      <c r="F55" s="41"/>
      <c r="G55" s="41"/>
      <c r="H55" s="41"/>
      <c r="I55" s="52"/>
      <c r="J55" s="38"/>
      <c r="K55" s="42"/>
      <c r="L55" s="41"/>
      <c r="M55" s="43"/>
      <c r="N55" s="46"/>
      <c r="O55" s="19"/>
      <c r="P55" s="19"/>
      <c r="Q55" s="19"/>
      <c r="R55" s="19"/>
      <c r="S55" s="58"/>
      <c r="T55" s="57"/>
      <c r="U55" s="19"/>
      <c r="V55" s="20"/>
      <c r="W55" s="19"/>
      <c r="X55" s="13"/>
      <c r="Y55" s="13"/>
      <c r="Z55" s="13"/>
      <c r="AA55" s="21"/>
      <c r="AB55" s="22"/>
    </row>
    <row r="56" spans="3:28" x14ac:dyDescent="0.3">
      <c r="C56" s="13">
        <f t="shared" si="0"/>
        <v>0</v>
      </c>
      <c r="D56" s="13"/>
      <c r="E56" s="40"/>
      <c r="F56" s="41"/>
      <c r="G56" s="41"/>
      <c r="H56" s="41"/>
      <c r="I56" s="52"/>
      <c r="J56" s="38"/>
      <c r="K56" s="42"/>
      <c r="L56" s="41"/>
      <c r="M56" s="43"/>
      <c r="N56" s="46"/>
      <c r="O56" s="19"/>
      <c r="P56" s="19"/>
      <c r="Q56" s="19"/>
      <c r="R56" s="19"/>
      <c r="S56" s="58"/>
      <c r="T56" s="57"/>
      <c r="U56" s="19"/>
      <c r="V56" s="20"/>
      <c r="W56" s="19"/>
      <c r="X56" s="13"/>
      <c r="Y56" s="13"/>
      <c r="Z56" s="13"/>
      <c r="AA56" s="21"/>
      <c r="AB56" s="22"/>
    </row>
    <row r="57" spans="3:28" x14ac:dyDescent="0.3">
      <c r="C57" s="13">
        <f t="shared" si="0"/>
        <v>0</v>
      </c>
      <c r="D57" s="13"/>
      <c r="E57" s="40"/>
      <c r="F57" s="41"/>
      <c r="G57" s="41"/>
      <c r="H57" s="41"/>
      <c r="I57" s="52"/>
      <c r="J57" s="38"/>
      <c r="K57" s="42"/>
      <c r="L57" s="41"/>
      <c r="M57" s="43"/>
      <c r="N57" s="46"/>
      <c r="O57" s="19"/>
      <c r="P57" s="19"/>
      <c r="Q57" s="19"/>
      <c r="R57" s="19"/>
      <c r="S57" s="58"/>
      <c r="T57" s="57"/>
      <c r="U57" s="19"/>
      <c r="V57" s="20"/>
      <c r="W57" s="19"/>
      <c r="X57" s="13"/>
      <c r="Y57" s="13"/>
      <c r="Z57" s="13"/>
      <c r="AA57" s="21"/>
      <c r="AB57" s="22"/>
    </row>
    <row r="58" spans="3:28" x14ac:dyDescent="0.3">
      <c r="C58" s="13">
        <f t="shared" si="0"/>
        <v>0</v>
      </c>
      <c r="D58" s="13"/>
      <c r="E58" s="40"/>
      <c r="F58" s="41"/>
      <c r="G58" s="41"/>
      <c r="H58" s="41"/>
      <c r="I58" s="52"/>
      <c r="J58" s="38"/>
      <c r="K58" s="42"/>
      <c r="L58" s="41"/>
      <c r="M58" s="43"/>
      <c r="N58" s="46"/>
      <c r="O58" s="19"/>
      <c r="P58" s="19"/>
      <c r="Q58" s="19"/>
      <c r="R58" s="19"/>
      <c r="S58" s="58"/>
      <c r="T58" s="57"/>
      <c r="U58" s="19"/>
      <c r="V58" s="20"/>
      <c r="W58" s="19"/>
      <c r="X58" s="13"/>
      <c r="Y58" s="13"/>
      <c r="Z58" s="13"/>
      <c r="AA58" s="21"/>
      <c r="AB58" s="22"/>
    </row>
    <row r="59" spans="3:28" x14ac:dyDescent="0.3">
      <c r="C59" s="13">
        <f t="shared" si="0"/>
        <v>0</v>
      </c>
      <c r="D59" s="13"/>
      <c r="E59" s="40"/>
      <c r="F59" s="41"/>
      <c r="G59" s="41"/>
      <c r="H59" s="41"/>
      <c r="I59" s="52"/>
      <c r="J59" s="38"/>
      <c r="K59" s="42"/>
      <c r="L59" s="42"/>
      <c r="M59" s="44"/>
      <c r="N59" s="46"/>
      <c r="O59" s="19"/>
      <c r="P59" s="19"/>
      <c r="Q59" s="19"/>
      <c r="R59" s="19"/>
      <c r="S59" s="58"/>
      <c r="T59" s="57"/>
      <c r="U59" s="19"/>
      <c r="V59" s="20"/>
      <c r="W59" s="19"/>
      <c r="X59" s="13"/>
      <c r="Y59" s="13"/>
      <c r="Z59" s="13"/>
      <c r="AA59" s="21"/>
      <c r="AB59" s="22"/>
    </row>
    <row r="60" spans="3:28" x14ac:dyDescent="0.3">
      <c r="C60" s="13"/>
      <c r="D60" s="13"/>
      <c r="E60" s="40"/>
      <c r="F60" s="41"/>
      <c r="G60" s="41"/>
      <c r="H60" s="41"/>
      <c r="I60" s="52"/>
      <c r="J60" s="38"/>
      <c r="K60" s="42"/>
      <c r="L60" s="42"/>
      <c r="M60" s="44"/>
      <c r="N60" s="46"/>
      <c r="O60" s="19"/>
      <c r="P60" s="19"/>
      <c r="Q60" s="19"/>
      <c r="R60" s="19"/>
      <c r="S60" s="58"/>
      <c r="T60" s="57"/>
      <c r="U60" s="19"/>
      <c r="V60" s="20"/>
      <c r="W60" s="19"/>
      <c r="X60" s="13"/>
      <c r="Y60" s="13"/>
      <c r="Z60" s="13"/>
      <c r="AA60" s="21"/>
      <c r="AB60" s="22"/>
    </row>
    <row r="61" spans="3:28" x14ac:dyDescent="0.3">
      <c r="C61" s="13">
        <f t="shared" ref="C61:C66" si="16">C19</f>
        <v>0</v>
      </c>
      <c r="D61" s="13"/>
      <c r="E61" s="40"/>
      <c r="F61" s="41"/>
      <c r="G61" s="41"/>
      <c r="H61" s="41"/>
      <c r="I61" s="52"/>
      <c r="J61" s="38"/>
      <c r="K61" s="42"/>
      <c r="L61" s="42"/>
      <c r="M61" s="44"/>
      <c r="N61" s="46"/>
      <c r="O61" s="19"/>
      <c r="P61" s="19"/>
      <c r="Q61" s="19"/>
      <c r="R61" s="19"/>
      <c r="S61" s="58"/>
      <c r="T61" s="57"/>
      <c r="U61" s="19"/>
      <c r="V61" s="20"/>
      <c r="W61" s="19"/>
      <c r="X61" s="13"/>
      <c r="Y61" s="13"/>
      <c r="Z61" s="13"/>
      <c r="AA61" s="21"/>
      <c r="AB61" s="22"/>
    </row>
    <row r="62" spans="3:28" x14ac:dyDescent="0.3">
      <c r="C62" s="13">
        <f t="shared" si="16"/>
        <v>0</v>
      </c>
      <c r="D62" s="13"/>
      <c r="E62" s="40"/>
      <c r="F62" s="41"/>
      <c r="G62" s="41"/>
      <c r="H62" s="41"/>
      <c r="I62" s="52"/>
      <c r="J62" s="38"/>
      <c r="K62" s="42"/>
      <c r="L62" s="42"/>
      <c r="M62" s="44"/>
      <c r="N62" s="46"/>
      <c r="O62" s="19"/>
      <c r="P62" s="19"/>
      <c r="Q62" s="19"/>
      <c r="R62" s="19"/>
      <c r="S62" s="58"/>
      <c r="T62" s="57"/>
      <c r="U62" s="19"/>
      <c r="V62" s="20"/>
      <c r="W62" s="19"/>
      <c r="X62" s="13"/>
      <c r="Y62" s="13"/>
      <c r="Z62" s="13"/>
      <c r="AA62" s="21"/>
      <c r="AB62" s="22"/>
    </row>
    <row r="63" spans="3:28" x14ac:dyDescent="0.3">
      <c r="C63" s="13">
        <f t="shared" si="16"/>
        <v>0</v>
      </c>
      <c r="D63" s="13"/>
      <c r="E63" s="40"/>
      <c r="F63" s="41"/>
      <c r="G63" s="41"/>
      <c r="H63" s="41"/>
      <c r="I63" s="52"/>
      <c r="J63" s="38"/>
      <c r="K63" s="42"/>
      <c r="L63" s="42"/>
      <c r="M63" s="44"/>
      <c r="N63" s="46"/>
      <c r="O63" s="19"/>
      <c r="P63" s="19"/>
      <c r="Q63" s="19"/>
      <c r="R63" s="19"/>
      <c r="S63" s="58"/>
      <c r="T63" s="57"/>
      <c r="U63" s="19"/>
      <c r="V63" s="20"/>
      <c r="W63" s="19"/>
      <c r="X63" s="13"/>
      <c r="Y63" s="13"/>
      <c r="Z63" s="13"/>
      <c r="AA63" s="21"/>
      <c r="AB63" s="22"/>
    </row>
    <row r="64" spans="3:28" x14ac:dyDescent="0.3">
      <c r="C64" s="13">
        <f t="shared" si="16"/>
        <v>0</v>
      </c>
      <c r="D64" s="13"/>
      <c r="E64" s="40"/>
      <c r="F64" s="41"/>
      <c r="G64" s="41"/>
      <c r="H64" s="41"/>
      <c r="I64" s="52"/>
      <c r="J64" s="38"/>
      <c r="K64" s="42"/>
      <c r="L64" s="41"/>
      <c r="M64" s="43"/>
      <c r="N64" s="46"/>
      <c r="O64" s="19"/>
      <c r="P64" s="19"/>
      <c r="Q64" s="19"/>
      <c r="R64" s="19"/>
      <c r="S64" s="58"/>
      <c r="T64" s="57"/>
      <c r="U64" s="19"/>
      <c r="V64" s="20"/>
      <c r="W64" s="19"/>
      <c r="X64" s="13"/>
      <c r="Y64" s="13"/>
      <c r="Z64" s="13"/>
      <c r="AA64" s="21"/>
      <c r="AB64" s="22"/>
    </row>
    <row r="65" spans="3:28" x14ac:dyDescent="0.3">
      <c r="C65" s="13">
        <f t="shared" si="16"/>
        <v>0</v>
      </c>
      <c r="D65" s="13"/>
      <c r="E65" s="40"/>
      <c r="F65" s="41"/>
      <c r="G65" s="41"/>
      <c r="H65" s="41"/>
      <c r="I65" s="52"/>
      <c r="J65" s="38"/>
      <c r="K65" s="42"/>
      <c r="L65" s="41"/>
      <c r="M65" s="43"/>
      <c r="N65" s="46"/>
      <c r="O65" s="19"/>
      <c r="P65" s="19"/>
      <c r="Q65" s="19"/>
      <c r="R65" s="19"/>
      <c r="S65" s="58"/>
      <c r="T65" s="57"/>
      <c r="U65" s="19"/>
      <c r="V65" s="20"/>
      <c r="W65" s="19"/>
      <c r="X65" s="13"/>
      <c r="Y65" s="13"/>
      <c r="Z65" s="13"/>
      <c r="AA65" s="21"/>
      <c r="AB65" s="22"/>
    </row>
    <row r="66" spans="3:28" x14ac:dyDescent="0.3">
      <c r="C66" s="13">
        <f t="shared" si="16"/>
        <v>0</v>
      </c>
      <c r="D66" s="13"/>
      <c r="E66" s="40"/>
      <c r="F66" s="41"/>
      <c r="G66" s="41"/>
      <c r="H66" s="41"/>
      <c r="I66" s="52"/>
      <c r="J66" s="38"/>
      <c r="K66" s="42"/>
      <c r="L66" s="41"/>
      <c r="M66" s="43"/>
      <c r="N66" s="46"/>
      <c r="O66" s="19"/>
      <c r="P66" s="19"/>
      <c r="Q66" s="19"/>
      <c r="R66" s="19"/>
      <c r="S66" s="58"/>
      <c r="T66" s="57"/>
      <c r="U66" s="19"/>
      <c r="V66" s="20"/>
      <c r="W66" s="19"/>
      <c r="X66" s="13"/>
      <c r="Y66" s="13"/>
      <c r="Z66" s="13"/>
      <c r="AA66" s="21"/>
      <c r="AB66" s="22"/>
    </row>
    <row r="67" spans="3:28" x14ac:dyDescent="0.3">
      <c r="D67" s="10" t="s">
        <v>7</v>
      </c>
      <c r="E67" s="32">
        <f t="shared" ref="E67:K67" si="17">SUM(E46:E66)</f>
        <v>32</v>
      </c>
      <c r="F67" s="33">
        <f t="shared" si="17"/>
        <v>27</v>
      </c>
      <c r="G67" s="33">
        <f t="shared" si="17"/>
        <v>5</v>
      </c>
      <c r="H67" s="33">
        <f t="shared" si="17"/>
        <v>0</v>
      </c>
      <c r="I67" s="34">
        <f t="shared" si="17"/>
        <v>0</v>
      </c>
      <c r="J67" s="35">
        <f t="shared" si="17"/>
        <v>5</v>
      </c>
      <c r="K67" s="33">
        <f t="shared" si="17"/>
        <v>2</v>
      </c>
      <c r="L67" s="33">
        <f>SUM(L49:L66)</f>
        <v>0</v>
      </c>
      <c r="M67" s="34">
        <f>SUM(M49:M66)</f>
        <v>0</v>
      </c>
      <c r="N67" s="47">
        <f>AVERAGE(N46:N66)</f>
        <v>0.9</v>
      </c>
      <c r="O67" s="5">
        <f>AVERAGE(O46:O66)</f>
        <v>0.84166666666666667</v>
      </c>
      <c r="P67" s="5">
        <f>AVERAGE(P46:P66)</f>
        <v>0.15833333333333333</v>
      </c>
      <c r="Q67" s="5">
        <f>AVERAGE(Q46:Q66)</f>
        <v>0</v>
      </c>
      <c r="R67" s="5">
        <f>AVERAGE(R46:R66)</f>
        <v>0</v>
      </c>
      <c r="S67" s="1">
        <f>SUM(S46:S66)</f>
        <v>0</v>
      </c>
      <c r="T67" s="6">
        <f>AVERAGE(T46:T66)</f>
        <v>1</v>
      </c>
      <c r="U67" s="6">
        <f>AVERAGE(U46:U66)</f>
        <v>1</v>
      </c>
      <c r="V67" s="6">
        <f>AVERAGE(V46:V66)</f>
        <v>0</v>
      </c>
      <c r="W67" s="6">
        <f>AVERAGE(W46:W66)</f>
        <v>0</v>
      </c>
      <c r="X67" s="7">
        <f>SUM(X46:X66)</f>
        <v>32</v>
      </c>
      <c r="Y67" s="7">
        <f>SUM(Y46:Y66)</f>
        <v>32</v>
      </c>
      <c r="Z67" s="7">
        <f>SUM(Z46:Z66)</f>
        <v>0</v>
      </c>
      <c r="AA67" s="18">
        <f>SUM(AA46:AA66)</f>
        <v>0</v>
      </c>
      <c r="AB67" s="7">
        <f>SUM(Y67:AA67)</f>
        <v>32</v>
      </c>
    </row>
    <row r="68" spans="3:28" x14ac:dyDescent="0.3">
      <c r="D68" s="9" t="s">
        <v>26</v>
      </c>
      <c r="E68" s="8"/>
      <c r="F68" s="8"/>
      <c r="G68" s="8"/>
      <c r="H68" s="8"/>
      <c r="I68" s="8"/>
      <c r="J68" s="8">
        <v>5</v>
      </c>
      <c r="K68" s="8"/>
      <c r="L68" s="8"/>
      <c r="M68" s="8"/>
      <c r="N68" s="8"/>
    </row>
    <row r="104" spans="1:6" x14ac:dyDescent="0.3">
      <c r="A104" s="59" t="s">
        <v>89</v>
      </c>
      <c r="B104" s="59"/>
      <c r="C104" s="59"/>
    </row>
    <row r="105" spans="1:6" x14ac:dyDescent="0.3">
      <c r="E105" s="8" t="s">
        <v>87</v>
      </c>
      <c r="F105" s="8" t="s">
        <v>86</v>
      </c>
    </row>
    <row r="106" spans="1:6" x14ac:dyDescent="0.3">
      <c r="C106" s="63" t="s">
        <v>22</v>
      </c>
      <c r="D106" t="s">
        <v>82</v>
      </c>
      <c r="E106" s="13">
        <f>COUNTA(D4:D36)</f>
        <v>2</v>
      </c>
      <c r="F106" s="28">
        <v>1</v>
      </c>
    </row>
    <row r="107" spans="1:6" x14ac:dyDescent="0.3">
      <c r="C107" s="63"/>
      <c r="D107" t="s">
        <v>24</v>
      </c>
      <c r="E107" s="13">
        <f>'Données '!S67</f>
        <v>0</v>
      </c>
      <c r="F107" s="27">
        <f>E107/$E$106</f>
        <v>0</v>
      </c>
    </row>
    <row r="108" spans="1:6" x14ac:dyDescent="0.3">
      <c r="C108" s="63"/>
      <c r="D108" t="s">
        <v>25</v>
      </c>
      <c r="E108" s="13">
        <f>+E106-E107</f>
        <v>2</v>
      </c>
      <c r="F108" s="27">
        <f>E108/$E$106</f>
        <v>1</v>
      </c>
    </row>
    <row r="124" spans="1:6" x14ac:dyDescent="0.3">
      <c r="A124" s="59" t="s">
        <v>83</v>
      </c>
      <c r="B124" s="59"/>
      <c r="C124" s="59"/>
    </row>
    <row r="126" spans="1:6" x14ac:dyDescent="0.3">
      <c r="C126" s="63" t="s">
        <v>4</v>
      </c>
      <c r="D126" s="15" t="s">
        <v>0</v>
      </c>
      <c r="E126" s="48"/>
      <c r="F126" s="51">
        <f>$F$67/$E$67</f>
        <v>0.84375</v>
      </c>
    </row>
    <row r="127" spans="1:6" x14ac:dyDescent="0.3">
      <c r="C127" s="63"/>
      <c r="D127" s="54" t="s">
        <v>79</v>
      </c>
      <c r="E127" t="s">
        <v>90</v>
      </c>
      <c r="F127" s="53">
        <f>SUM($F$67:$H$67)/$E$67</f>
        <v>1</v>
      </c>
    </row>
    <row r="128" spans="1:6" x14ac:dyDescent="0.3">
      <c r="C128" s="63"/>
      <c r="D128" s="49" t="s">
        <v>79</v>
      </c>
      <c r="E128" t="s">
        <v>92</v>
      </c>
      <c r="F128" s="55">
        <f>F127-F126</f>
        <v>0.15625</v>
      </c>
    </row>
    <row r="129" spans="3:6" x14ac:dyDescent="0.3">
      <c r="C129" s="63"/>
      <c r="D129" s="16" t="s">
        <v>80</v>
      </c>
      <c r="E129" s="50"/>
      <c r="F129" s="56">
        <f>1-F127</f>
        <v>0</v>
      </c>
    </row>
    <row r="130" spans="3:6" x14ac:dyDescent="0.3">
      <c r="D130" t="s">
        <v>7</v>
      </c>
      <c r="F130" s="20">
        <f>F126+F128+F129</f>
        <v>1</v>
      </c>
    </row>
  </sheetData>
  <mergeCells count="7">
    <mergeCell ref="A41:C41"/>
    <mergeCell ref="J44:M44"/>
    <mergeCell ref="E44:I44"/>
    <mergeCell ref="C106:C108"/>
    <mergeCell ref="C126:C129"/>
    <mergeCell ref="A124:C124"/>
    <mergeCell ref="A104:C104"/>
  </mergeCells>
  <phoneticPr fontId="5" type="noConversion"/>
  <conditionalFormatting sqref="C46:D66">
    <cfRule type="cellIs" dxfId="2" priority="1" operator="equal">
      <formula>0</formula>
    </cfRule>
  </conditionalFormatting>
  <conditionalFormatting sqref="F4:F24">
    <cfRule type="cellIs" dxfId="1" priority="3" operator="equal">
      <formula>1</formula>
    </cfRule>
  </conditionalFormatting>
  <conditionalFormatting sqref="S46:S66">
    <cfRule type="cellIs" dxfId="0" priority="2" operator="equal">
      <formula>1</formula>
    </cfRule>
  </conditionalFormatting>
  <pageMargins left="0.7" right="0.7" top="0.75" bottom="0.75" header="0.3" footer="0.3"/>
  <pageSetup orientation="portrait" r:id="rId1"/>
  <ignoredErrors>
    <ignoredError sqref="J46:J4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7A8A-6AAD-4B39-868C-99437DDAA60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topLeftCell="A208" zoomScale="70" zoomScaleNormal="70" workbookViewId="0">
      <selection activeCell="AE250" sqref="AE25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1521-5AC1-4FBF-9B74-4D7F690C091C}">
  <dimension ref="J251:S306"/>
  <sheetViews>
    <sheetView showGridLines="0" topLeftCell="A63" zoomScale="32" zoomScaleNormal="32" workbookViewId="0">
      <selection activeCell="AZ147" sqref="AZ147"/>
    </sheetView>
  </sheetViews>
  <sheetFormatPr baseColWidth="10" defaultRowHeight="14.4" x14ac:dyDescent="0.3"/>
  <sheetData>
    <row r="251" spans="12:19" x14ac:dyDescent="0.3">
      <c r="L251" t="s">
        <v>55</v>
      </c>
    </row>
    <row r="252" spans="12:19" x14ac:dyDescent="0.3">
      <c r="M252" t="s">
        <v>56</v>
      </c>
    </row>
    <row r="255" spans="12:19" x14ac:dyDescent="0.3">
      <c r="L255" t="s">
        <v>41</v>
      </c>
    </row>
    <row r="256" spans="12:19" x14ac:dyDescent="0.3">
      <c r="M256" t="s">
        <v>42</v>
      </c>
      <c r="S256" t="s">
        <v>44</v>
      </c>
    </row>
    <row r="257" spans="12:14" x14ac:dyDescent="0.3">
      <c r="M257" t="s">
        <v>43</v>
      </c>
    </row>
    <row r="259" spans="12:14" x14ac:dyDescent="0.3">
      <c r="M259" t="s">
        <v>45</v>
      </c>
    </row>
    <row r="260" spans="12:14" x14ac:dyDescent="0.3">
      <c r="M260" t="s">
        <v>46</v>
      </c>
    </row>
    <row r="262" spans="12:14" x14ac:dyDescent="0.3">
      <c r="M262" t="s">
        <v>47</v>
      </c>
    </row>
    <row r="264" spans="12:14" x14ac:dyDescent="0.3">
      <c r="M264" t="s">
        <v>48</v>
      </c>
    </row>
    <row r="266" spans="12:14" x14ac:dyDescent="0.3">
      <c r="M266" t="s">
        <v>53</v>
      </c>
      <c r="N266" t="s">
        <v>54</v>
      </c>
    </row>
    <row r="267" spans="12:14" x14ac:dyDescent="0.3">
      <c r="L267" t="s">
        <v>49</v>
      </c>
    </row>
    <row r="268" spans="12:14" x14ac:dyDescent="0.3">
      <c r="M268" t="s">
        <v>50</v>
      </c>
    </row>
    <row r="269" spans="12:14" x14ac:dyDescent="0.3">
      <c r="M269" t="s">
        <v>51</v>
      </c>
    </row>
    <row r="270" spans="12:14" x14ac:dyDescent="0.3">
      <c r="M270" t="s">
        <v>52</v>
      </c>
    </row>
    <row r="275" spans="12:15" x14ac:dyDescent="0.3">
      <c r="L275" t="s">
        <v>57</v>
      </c>
    </row>
    <row r="277" spans="12:15" x14ac:dyDescent="0.3">
      <c r="L277" t="s">
        <v>58</v>
      </c>
    </row>
    <row r="278" spans="12:15" x14ac:dyDescent="0.3">
      <c r="M278" t="s">
        <v>59</v>
      </c>
    </row>
    <row r="279" spans="12:15" x14ac:dyDescent="0.3">
      <c r="N279" t="s">
        <v>60</v>
      </c>
    </row>
    <row r="280" spans="12:15" x14ac:dyDescent="0.3">
      <c r="O280" t="s">
        <v>61</v>
      </c>
    </row>
    <row r="281" spans="12:15" x14ac:dyDescent="0.3">
      <c r="O281" t="s">
        <v>62</v>
      </c>
    </row>
    <row r="282" spans="12:15" x14ac:dyDescent="0.3">
      <c r="M282" t="s">
        <v>63</v>
      </c>
    </row>
    <row r="283" spans="12:15" x14ac:dyDescent="0.3">
      <c r="N283" t="s">
        <v>64</v>
      </c>
    </row>
    <row r="284" spans="12:15" x14ac:dyDescent="0.3">
      <c r="M284" t="s">
        <v>65</v>
      </c>
    </row>
    <row r="285" spans="12:15" x14ac:dyDescent="0.3">
      <c r="N285" t="s">
        <v>66</v>
      </c>
    </row>
    <row r="286" spans="12:15" x14ac:dyDescent="0.3">
      <c r="M286" t="s">
        <v>67</v>
      </c>
    </row>
    <row r="287" spans="12:15" x14ac:dyDescent="0.3">
      <c r="N287" t="s">
        <v>68</v>
      </c>
    </row>
    <row r="288" spans="12:15" x14ac:dyDescent="0.3">
      <c r="M288" t="s">
        <v>69</v>
      </c>
    </row>
    <row r="289" spans="10:15" x14ac:dyDescent="0.3">
      <c r="N289" t="s">
        <v>70</v>
      </c>
      <c r="O289" t="s">
        <v>74</v>
      </c>
    </row>
    <row r="290" spans="10:15" x14ac:dyDescent="0.3">
      <c r="N290" t="s">
        <v>71</v>
      </c>
    </row>
    <row r="291" spans="10:15" x14ac:dyDescent="0.3">
      <c r="O291" t="s">
        <v>73</v>
      </c>
    </row>
    <row r="292" spans="10:15" x14ac:dyDescent="0.3">
      <c r="N292" t="s">
        <v>72</v>
      </c>
    </row>
    <row r="293" spans="10:15" x14ac:dyDescent="0.3">
      <c r="O293" t="s">
        <v>75</v>
      </c>
    </row>
    <row r="294" spans="10:15" x14ac:dyDescent="0.3">
      <c r="M294" t="s">
        <v>76</v>
      </c>
    </row>
    <row r="295" spans="10:15" x14ac:dyDescent="0.3">
      <c r="N295" t="s">
        <v>1</v>
      </c>
    </row>
    <row r="296" spans="10:15" x14ac:dyDescent="0.3">
      <c r="M296" t="s">
        <v>77</v>
      </c>
    </row>
    <row r="297" spans="10:15" x14ac:dyDescent="0.3">
      <c r="N297" t="s">
        <v>1</v>
      </c>
    </row>
    <row r="298" spans="10:15" x14ac:dyDescent="0.3">
      <c r="J298" t="s">
        <v>78</v>
      </c>
    </row>
    <row r="299" spans="10:15" x14ac:dyDescent="0.3">
      <c r="K299" t="s">
        <v>35</v>
      </c>
      <c r="L299" t="s">
        <v>27</v>
      </c>
    </row>
    <row r="300" spans="10:15" x14ac:dyDescent="0.3">
      <c r="K300" t="s">
        <v>28</v>
      </c>
      <c r="L300" t="s">
        <v>39</v>
      </c>
    </row>
    <row r="301" spans="10:15" x14ac:dyDescent="0.3">
      <c r="K301" t="s">
        <v>29</v>
      </c>
      <c r="L301" t="s">
        <v>30</v>
      </c>
    </row>
    <row r="302" spans="10:15" x14ac:dyDescent="0.3">
      <c r="K302" t="s">
        <v>31</v>
      </c>
      <c r="L302" t="s">
        <v>32</v>
      </c>
    </row>
    <row r="303" spans="10:15" x14ac:dyDescent="0.3">
      <c r="K303" t="s">
        <v>33</v>
      </c>
      <c r="L303" t="s">
        <v>34</v>
      </c>
    </row>
    <row r="304" spans="10:15" x14ac:dyDescent="0.3">
      <c r="K304" t="s">
        <v>36</v>
      </c>
      <c r="L304" t="s">
        <v>38</v>
      </c>
    </row>
    <row r="305" spans="11:12" x14ac:dyDescent="0.3">
      <c r="K305" t="s">
        <v>37</v>
      </c>
      <c r="L305" t="s">
        <v>38</v>
      </c>
    </row>
    <row r="306" spans="11:12" x14ac:dyDescent="0.3">
      <c r="L306" t="s">
        <v>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A15"/>
  <sheetViews>
    <sheetView topLeftCell="A34" zoomScale="115" zoomScaleNormal="115" workbookViewId="0">
      <selection activeCell="E2" sqref="E2"/>
    </sheetView>
  </sheetViews>
  <sheetFormatPr baseColWidth="10" defaultColWidth="11.44140625" defaultRowHeight="14.4" x14ac:dyDescent="0.3"/>
  <cols>
    <col min="2" max="2" width="11.33203125" customWidth="1"/>
    <col min="3" max="3" width="11.5546875" bestFit="1" customWidth="1"/>
    <col min="4" max="11" width="12" bestFit="1" customWidth="1"/>
    <col min="12" max="12" width="11.5546875" bestFit="1" customWidth="1"/>
    <col min="13" max="13" width="11.109375" bestFit="1" customWidth="1"/>
    <col min="14" max="21" width="11.5546875" bestFit="1" customWidth="1"/>
    <col min="22" max="22" width="12" bestFit="1" customWidth="1"/>
    <col min="23" max="23" width="11.5546875" bestFit="1" customWidth="1"/>
    <col min="24" max="32" width="12" bestFit="1" customWidth="1"/>
    <col min="33" max="33" width="11.5546875" bestFit="1" customWidth="1"/>
    <col min="34" max="41" width="12" bestFit="1" customWidth="1"/>
    <col min="42" max="42" width="11.5546875" bestFit="1" customWidth="1"/>
    <col min="43" max="43" width="11.109375" bestFit="1" customWidth="1"/>
    <col min="44" max="51" width="11.5546875" bestFit="1" customWidth="1"/>
    <col min="52" max="52" width="12" bestFit="1" customWidth="1"/>
    <col min="53" max="53" width="11.5546875" bestFit="1" customWidth="1"/>
    <col min="54" max="62" width="12" bestFit="1" customWidth="1"/>
    <col min="63" max="64" width="11.5546875" bestFit="1" customWidth="1"/>
    <col min="65" max="72" width="12" bestFit="1" customWidth="1"/>
    <col min="73" max="73" width="11.5546875" bestFit="1" customWidth="1"/>
    <col min="74" max="74" width="11.109375" bestFit="1" customWidth="1"/>
    <col min="75" max="82" width="11.5546875" bestFit="1" customWidth="1"/>
    <col min="83" max="83" width="12" bestFit="1" customWidth="1"/>
    <col min="84" max="84" width="11.5546875" bestFit="1" customWidth="1"/>
    <col min="85" max="93" width="12" bestFit="1" customWidth="1"/>
    <col min="94" max="95" width="11.5546875" bestFit="1" customWidth="1"/>
    <col min="96" max="103" width="12" bestFit="1" customWidth="1"/>
    <col min="104" max="104" width="11.5546875" bestFit="1" customWidth="1"/>
    <col min="105" max="105" width="11.109375" bestFit="1" customWidth="1"/>
    <col min="106" max="113" width="11.5546875" bestFit="1" customWidth="1"/>
    <col min="114" max="114" width="12" bestFit="1" customWidth="1"/>
    <col min="115" max="115" width="11.5546875" bestFit="1" customWidth="1"/>
    <col min="116" max="124" width="12" bestFit="1" customWidth="1"/>
    <col min="125" max="125" width="11.109375" bestFit="1" customWidth="1"/>
    <col min="126" max="133" width="11.5546875" bestFit="1" customWidth="1"/>
    <col min="134" max="134" width="11.109375" bestFit="1" customWidth="1"/>
    <col min="135" max="135" width="10.6640625" bestFit="1" customWidth="1"/>
    <col min="136" max="143" width="11.109375" bestFit="1" customWidth="1"/>
    <col min="144" max="144" width="11.5546875" bestFit="1" customWidth="1"/>
    <col min="145" max="145" width="11.109375" bestFit="1" customWidth="1"/>
    <col min="146" max="154" width="11.5546875" bestFit="1" customWidth="1"/>
    <col min="155" max="155" width="11.109375" bestFit="1" customWidth="1"/>
    <col min="156" max="156" width="10.6640625" bestFit="1" customWidth="1"/>
    <col min="157" max="164" width="11.109375" bestFit="1" customWidth="1"/>
    <col min="165" max="174" width="10.6640625" bestFit="1" customWidth="1"/>
    <col min="175" max="175" width="11.109375" bestFit="1" customWidth="1"/>
    <col min="176" max="176" width="10.6640625" bestFit="1" customWidth="1"/>
    <col min="177" max="186" width="11.109375" bestFit="1" customWidth="1"/>
    <col min="187" max="194" width="11.5546875" bestFit="1" customWidth="1"/>
    <col min="195" max="195" width="11.109375" bestFit="1" customWidth="1"/>
    <col min="196" max="196" width="10.6640625" bestFit="1" customWidth="1"/>
    <col min="197" max="204" width="11.109375" bestFit="1" customWidth="1"/>
    <col min="205" max="205" width="11.5546875" bestFit="1" customWidth="1"/>
    <col min="206" max="206" width="11.109375" bestFit="1" customWidth="1"/>
    <col min="207" max="215" width="11.5546875" bestFit="1" customWidth="1"/>
    <col min="216" max="217" width="11.109375" bestFit="1" customWidth="1"/>
    <col min="218" max="225" width="11.5546875" bestFit="1" customWidth="1"/>
    <col min="226" max="226" width="11.109375" bestFit="1" customWidth="1"/>
    <col min="227" max="227" width="10.6640625" bestFit="1" customWidth="1"/>
    <col min="228" max="235" width="11.109375" bestFit="1" customWidth="1"/>
  </cols>
  <sheetData>
    <row r="2" spans="2:235" x14ac:dyDescent="0.3">
      <c r="C2" s="11">
        <v>47635</v>
      </c>
      <c r="D2" s="11">
        <f t="shared" ref="D2:BO2" si="0">C2+7</f>
        <v>47642</v>
      </c>
      <c r="E2" s="11">
        <f t="shared" si="0"/>
        <v>47649</v>
      </c>
      <c r="F2" s="11">
        <f t="shared" si="0"/>
        <v>47656</v>
      </c>
      <c r="G2" s="11">
        <f t="shared" si="0"/>
        <v>47663</v>
      </c>
      <c r="H2" s="11">
        <f t="shared" si="0"/>
        <v>47670</v>
      </c>
      <c r="I2" s="11">
        <f t="shared" si="0"/>
        <v>47677</v>
      </c>
      <c r="J2" s="11">
        <f t="shared" si="0"/>
        <v>47684</v>
      </c>
      <c r="K2" s="11">
        <f t="shared" si="0"/>
        <v>47691</v>
      </c>
      <c r="L2" s="11">
        <f t="shared" si="0"/>
        <v>47698</v>
      </c>
      <c r="M2" s="11">
        <f t="shared" si="0"/>
        <v>47705</v>
      </c>
      <c r="N2" s="11">
        <f t="shared" si="0"/>
        <v>47712</v>
      </c>
      <c r="O2" s="11">
        <f t="shared" si="0"/>
        <v>47719</v>
      </c>
      <c r="P2" s="11">
        <f t="shared" si="0"/>
        <v>47726</v>
      </c>
      <c r="Q2" s="11">
        <f t="shared" si="0"/>
        <v>47733</v>
      </c>
      <c r="R2" s="11">
        <f t="shared" si="0"/>
        <v>47740</v>
      </c>
      <c r="S2" s="11">
        <f t="shared" si="0"/>
        <v>47747</v>
      </c>
      <c r="T2" s="11">
        <f t="shared" si="0"/>
        <v>47754</v>
      </c>
      <c r="U2" s="11">
        <f t="shared" si="0"/>
        <v>47761</v>
      </c>
      <c r="V2" s="11">
        <f t="shared" si="0"/>
        <v>47768</v>
      </c>
      <c r="W2" s="11">
        <f t="shared" si="0"/>
        <v>47775</v>
      </c>
      <c r="X2" s="11">
        <f t="shared" si="0"/>
        <v>47782</v>
      </c>
      <c r="Y2" s="11">
        <f t="shared" si="0"/>
        <v>47789</v>
      </c>
      <c r="Z2" s="11">
        <f t="shared" si="0"/>
        <v>47796</v>
      </c>
      <c r="AA2" s="11">
        <f t="shared" si="0"/>
        <v>47803</v>
      </c>
      <c r="AB2" s="11">
        <f t="shared" si="0"/>
        <v>47810</v>
      </c>
      <c r="AC2" s="11">
        <f t="shared" si="0"/>
        <v>47817</v>
      </c>
      <c r="AD2" s="11">
        <f t="shared" si="0"/>
        <v>47824</v>
      </c>
      <c r="AE2" s="11">
        <f t="shared" si="0"/>
        <v>47831</v>
      </c>
      <c r="AF2" s="11">
        <f t="shared" si="0"/>
        <v>47838</v>
      </c>
      <c r="AG2" s="11">
        <f t="shared" si="0"/>
        <v>47845</v>
      </c>
      <c r="AH2" s="11">
        <f t="shared" si="0"/>
        <v>47852</v>
      </c>
      <c r="AI2" s="11">
        <f t="shared" si="0"/>
        <v>47859</v>
      </c>
      <c r="AJ2" s="11">
        <f t="shared" si="0"/>
        <v>47866</v>
      </c>
      <c r="AK2" s="11">
        <f t="shared" si="0"/>
        <v>47873</v>
      </c>
      <c r="AL2" s="11">
        <f t="shared" si="0"/>
        <v>47880</v>
      </c>
      <c r="AM2" s="11">
        <f t="shared" si="0"/>
        <v>47887</v>
      </c>
      <c r="AN2" s="11">
        <f t="shared" si="0"/>
        <v>47894</v>
      </c>
      <c r="AO2" s="11">
        <f t="shared" si="0"/>
        <v>47901</v>
      </c>
      <c r="AP2" s="11">
        <f t="shared" si="0"/>
        <v>47908</v>
      </c>
      <c r="AQ2" s="11">
        <f t="shared" si="0"/>
        <v>47915</v>
      </c>
      <c r="AR2" s="11">
        <f t="shared" si="0"/>
        <v>47922</v>
      </c>
      <c r="AS2" s="11">
        <f t="shared" si="0"/>
        <v>47929</v>
      </c>
      <c r="AT2" s="11">
        <f t="shared" si="0"/>
        <v>47936</v>
      </c>
      <c r="AU2" s="11">
        <f t="shared" si="0"/>
        <v>47943</v>
      </c>
      <c r="AV2" s="11">
        <f t="shared" si="0"/>
        <v>47950</v>
      </c>
      <c r="AW2" s="11">
        <f t="shared" si="0"/>
        <v>47957</v>
      </c>
      <c r="AX2" s="11">
        <f t="shared" si="0"/>
        <v>47964</v>
      </c>
      <c r="AY2" s="11">
        <f t="shared" si="0"/>
        <v>47971</v>
      </c>
      <c r="AZ2" s="11">
        <f t="shared" si="0"/>
        <v>47978</v>
      </c>
      <c r="BA2" s="11">
        <f t="shared" si="0"/>
        <v>47985</v>
      </c>
      <c r="BB2" s="11">
        <f t="shared" si="0"/>
        <v>47992</v>
      </c>
      <c r="BC2" s="11">
        <f t="shared" si="0"/>
        <v>47999</v>
      </c>
      <c r="BD2" s="11">
        <f t="shared" si="0"/>
        <v>48006</v>
      </c>
      <c r="BE2" s="11">
        <f t="shared" si="0"/>
        <v>48013</v>
      </c>
      <c r="BF2" s="11">
        <f t="shared" si="0"/>
        <v>48020</v>
      </c>
      <c r="BG2" s="11">
        <f t="shared" si="0"/>
        <v>48027</v>
      </c>
      <c r="BH2" s="11">
        <f t="shared" si="0"/>
        <v>48034</v>
      </c>
      <c r="BI2" s="11">
        <f t="shared" si="0"/>
        <v>48041</v>
      </c>
      <c r="BJ2" s="11">
        <f t="shared" si="0"/>
        <v>48048</v>
      </c>
      <c r="BK2" s="11">
        <f t="shared" si="0"/>
        <v>48055</v>
      </c>
      <c r="BL2" s="11">
        <f t="shared" si="0"/>
        <v>48062</v>
      </c>
      <c r="BM2" s="11">
        <f t="shared" si="0"/>
        <v>48069</v>
      </c>
      <c r="BN2" s="11">
        <f t="shared" si="0"/>
        <v>48076</v>
      </c>
      <c r="BO2" s="11">
        <f t="shared" si="0"/>
        <v>48083</v>
      </c>
      <c r="BP2" s="11">
        <f t="shared" ref="BP2:EA2" si="1">BO2+7</f>
        <v>48090</v>
      </c>
      <c r="BQ2" s="11">
        <f t="shared" si="1"/>
        <v>48097</v>
      </c>
      <c r="BR2" s="11">
        <f t="shared" si="1"/>
        <v>48104</v>
      </c>
      <c r="BS2" s="11">
        <f t="shared" si="1"/>
        <v>48111</v>
      </c>
      <c r="BT2" s="11">
        <f t="shared" si="1"/>
        <v>48118</v>
      </c>
      <c r="BU2" s="11">
        <f t="shared" si="1"/>
        <v>48125</v>
      </c>
      <c r="BV2" s="11">
        <f t="shared" si="1"/>
        <v>48132</v>
      </c>
      <c r="BW2" s="11">
        <f t="shared" si="1"/>
        <v>48139</v>
      </c>
      <c r="BX2" s="11">
        <f t="shared" si="1"/>
        <v>48146</v>
      </c>
      <c r="BY2" s="11">
        <f t="shared" si="1"/>
        <v>48153</v>
      </c>
      <c r="BZ2" s="11">
        <f t="shared" si="1"/>
        <v>48160</v>
      </c>
      <c r="CA2" s="11">
        <f t="shared" si="1"/>
        <v>48167</v>
      </c>
      <c r="CB2" s="11">
        <f t="shared" si="1"/>
        <v>48174</v>
      </c>
      <c r="CC2" s="11">
        <f t="shared" si="1"/>
        <v>48181</v>
      </c>
      <c r="CD2" s="11">
        <f t="shared" si="1"/>
        <v>48188</v>
      </c>
      <c r="CE2" s="11">
        <f t="shared" si="1"/>
        <v>48195</v>
      </c>
      <c r="CF2" s="11">
        <f t="shared" si="1"/>
        <v>48202</v>
      </c>
      <c r="CG2" s="11">
        <f t="shared" si="1"/>
        <v>48209</v>
      </c>
      <c r="CH2" s="11">
        <f t="shared" si="1"/>
        <v>48216</v>
      </c>
      <c r="CI2" s="11">
        <f t="shared" si="1"/>
        <v>48223</v>
      </c>
      <c r="CJ2" s="11">
        <f t="shared" si="1"/>
        <v>48230</v>
      </c>
      <c r="CK2" s="11">
        <f t="shared" si="1"/>
        <v>48237</v>
      </c>
      <c r="CL2" s="11">
        <f t="shared" si="1"/>
        <v>48244</v>
      </c>
      <c r="CM2" s="11">
        <f t="shared" si="1"/>
        <v>48251</v>
      </c>
      <c r="CN2" s="11">
        <f t="shared" si="1"/>
        <v>48258</v>
      </c>
      <c r="CO2" s="11">
        <f t="shared" si="1"/>
        <v>48265</v>
      </c>
      <c r="CP2" s="11">
        <f t="shared" si="1"/>
        <v>48272</v>
      </c>
      <c r="CQ2" s="11">
        <f t="shared" si="1"/>
        <v>48279</v>
      </c>
      <c r="CR2" s="11">
        <f t="shared" si="1"/>
        <v>48286</v>
      </c>
      <c r="CS2" s="11">
        <f t="shared" si="1"/>
        <v>48293</v>
      </c>
      <c r="CT2" s="11">
        <f t="shared" si="1"/>
        <v>48300</v>
      </c>
      <c r="CU2" s="11">
        <f t="shared" si="1"/>
        <v>48307</v>
      </c>
      <c r="CV2" s="11">
        <f t="shared" si="1"/>
        <v>48314</v>
      </c>
      <c r="CW2" s="11">
        <f t="shared" si="1"/>
        <v>48321</v>
      </c>
      <c r="CX2" s="11">
        <f t="shared" si="1"/>
        <v>48328</v>
      </c>
      <c r="CY2" s="11">
        <f t="shared" si="1"/>
        <v>48335</v>
      </c>
      <c r="CZ2" s="11">
        <f t="shared" si="1"/>
        <v>48342</v>
      </c>
      <c r="DA2" s="11">
        <f t="shared" si="1"/>
        <v>48349</v>
      </c>
      <c r="DB2" s="11">
        <f t="shared" si="1"/>
        <v>48356</v>
      </c>
      <c r="DC2" s="11">
        <f t="shared" si="1"/>
        <v>48363</v>
      </c>
      <c r="DD2" s="11">
        <f t="shared" si="1"/>
        <v>48370</v>
      </c>
      <c r="DE2" s="11">
        <f t="shared" si="1"/>
        <v>48377</v>
      </c>
      <c r="DF2" s="11">
        <f t="shared" si="1"/>
        <v>48384</v>
      </c>
      <c r="DG2" s="11">
        <f t="shared" si="1"/>
        <v>48391</v>
      </c>
      <c r="DH2" s="11">
        <f t="shared" si="1"/>
        <v>48398</v>
      </c>
      <c r="DI2" s="11">
        <f t="shared" si="1"/>
        <v>48405</v>
      </c>
      <c r="DJ2" s="11">
        <f t="shared" si="1"/>
        <v>48412</v>
      </c>
      <c r="DK2" s="11">
        <f t="shared" si="1"/>
        <v>48419</v>
      </c>
      <c r="DL2" s="11">
        <f t="shared" si="1"/>
        <v>48426</v>
      </c>
      <c r="DM2" s="11">
        <f t="shared" si="1"/>
        <v>48433</v>
      </c>
      <c r="DN2" s="11">
        <f t="shared" si="1"/>
        <v>48440</v>
      </c>
      <c r="DO2" s="11">
        <f t="shared" si="1"/>
        <v>48447</v>
      </c>
      <c r="DP2" s="11">
        <f t="shared" si="1"/>
        <v>48454</v>
      </c>
      <c r="DQ2" s="11">
        <f t="shared" si="1"/>
        <v>48461</v>
      </c>
      <c r="DR2" s="11">
        <f t="shared" si="1"/>
        <v>48468</v>
      </c>
      <c r="DS2" s="11">
        <f t="shared" si="1"/>
        <v>48475</v>
      </c>
      <c r="DT2" s="11">
        <f t="shared" si="1"/>
        <v>48482</v>
      </c>
      <c r="DU2" s="11">
        <f t="shared" si="1"/>
        <v>48489</v>
      </c>
      <c r="DV2" s="11">
        <f t="shared" si="1"/>
        <v>48496</v>
      </c>
      <c r="DW2" s="11">
        <f t="shared" si="1"/>
        <v>48503</v>
      </c>
      <c r="DX2" s="11">
        <f t="shared" si="1"/>
        <v>48510</v>
      </c>
      <c r="DY2" s="11">
        <f t="shared" si="1"/>
        <v>48517</v>
      </c>
      <c r="DZ2" s="11">
        <f t="shared" si="1"/>
        <v>48524</v>
      </c>
      <c r="EA2" s="11">
        <f t="shared" si="1"/>
        <v>48531</v>
      </c>
      <c r="EB2" s="11">
        <f t="shared" ref="EB2:GM2" si="2">EA2+7</f>
        <v>48538</v>
      </c>
      <c r="EC2" s="11">
        <f t="shared" si="2"/>
        <v>48545</v>
      </c>
      <c r="ED2" s="11">
        <f t="shared" si="2"/>
        <v>48552</v>
      </c>
      <c r="EE2" s="11">
        <f t="shared" si="2"/>
        <v>48559</v>
      </c>
      <c r="EF2" s="11">
        <f t="shared" si="2"/>
        <v>48566</v>
      </c>
      <c r="EG2" s="11">
        <f t="shared" si="2"/>
        <v>48573</v>
      </c>
      <c r="EH2" s="11">
        <f t="shared" si="2"/>
        <v>48580</v>
      </c>
      <c r="EI2" s="11">
        <f t="shared" si="2"/>
        <v>48587</v>
      </c>
      <c r="EJ2" s="11">
        <f t="shared" si="2"/>
        <v>48594</v>
      </c>
      <c r="EK2" s="11">
        <f t="shared" si="2"/>
        <v>48601</v>
      </c>
      <c r="EL2" s="11">
        <f t="shared" si="2"/>
        <v>48608</v>
      </c>
      <c r="EM2" s="11">
        <f t="shared" si="2"/>
        <v>48615</v>
      </c>
      <c r="EN2" s="11">
        <f t="shared" si="2"/>
        <v>48622</v>
      </c>
      <c r="EO2" s="11">
        <f t="shared" si="2"/>
        <v>48629</v>
      </c>
      <c r="EP2" s="11">
        <f t="shared" si="2"/>
        <v>48636</v>
      </c>
      <c r="EQ2" s="11">
        <f t="shared" si="2"/>
        <v>48643</v>
      </c>
      <c r="ER2" s="11">
        <f t="shared" si="2"/>
        <v>48650</v>
      </c>
      <c r="ES2" s="11">
        <f t="shared" si="2"/>
        <v>48657</v>
      </c>
      <c r="ET2" s="11">
        <f t="shared" si="2"/>
        <v>48664</v>
      </c>
      <c r="EU2" s="11">
        <f t="shared" si="2"/>
        <v>48671</v>
      </c>
      <c r="EV2" s="11">
        <f t="shared" si="2"/>
        <v>48678</v>
      </c>
      <c r="EW2" s="11">
        <f t="shared" si="2"/>
        <v>48685</v>
      </c>
      <c r="EX2" s="11">
        <f t="shared" si="2"/>
        <v>48692</v>
      </c>
      <c r="EY2" s="11">
        <f t="shared" si="2"/>
        <v>48699</v>
      </c>
      <c r="EZ2" s="11">
        <f t="shared" si="2"/>
        <v>48706</v>
      </c>
      <c r="FA2" s="11">
        <f t="shared" si="2"/>
        <v>48713</v>
      </c>
      <c r="FB2" s="11">
        <f t="shared" si="2"/>
        <v>48720</v>
      </c>
      <c r="FC2" s="11">
        <f t="shared" si="2"/>
        <v>48727</v>
      </c>
      <c r="FD2" s="11">
        <f t="shared" si="2"/>
        <v>48734</v>
      </c>
      <c r="FE2" s="11">
        <f t="shared" si="2"/>
        <v>48741</v>
      </c>
      <c r="FF2" s="11">
        <f t="shared" si="2"/>
        <v>48748</v>
      </c>
      <c r="FG2" s="11">
        <f t="shared" si="2"/>
        <v>48755</v>
      </c>
      <c r="FH2" s="11">
        <f t="shared" si="2"/>
        <v>48762</v>
      </c>
      <c r="FI2" s="11">
        <f t="shared" si="2"/>
        <v>48769</v>
      </c>
      <c r="FJ2" s="11">
        <f t="shared" si="2"/>
        <v>48776</v>
      </c>
      <c r="FK2" s="11">
        <f t="shared" si="2"/>
        <v>48783</v>
      </c>
      <c r="FL2" s="11">
        <f t="shared" si="2"/>
        <v>48790</v>
      </c>
      <c r="FM2" s="11">
        <f t="shared" si="2"/>
        <v>48797</v>
      </c>
      <c r="FN2" s="11">
        <f t="shared" si="2"/>
        <v>48804</v>
      </c>
      <c r="FO2" s="11">
        <f t="shared" si="2"/>
        <v>48811</v>
      </c>
      <c r="FP2" s="11">
        <f t="shared" si="2"/>
        <v>48818</v>
      </c>
      <c r="FQ2" s="11">
        <f t="shared" si="2"/>
        <v>48825</v>
      </c>
      <c r="FR2" s="11">
        <f t="shared" si="2"/>
        <v>48832</v>
      </c>
      <c r="FS2" s="11">
        <f t="shared" si="2"/>
        <v>48839</v>
      </c>
      <c r="FT2" s="11">
        <f t="shared" si="2"/>
        <v>48846</v>
      </c>
      <c r="FU2" s="11">
        <f t="shared" si="2"/>
        <v>48853</v>
      </c>
      <c r="FV2" s="11">
        <f t="shared" si="2"/>
        <v>48860</v>
      </c>
      <c r="FW2" s="11">
        <f t="shared" si="2"/>
        <v>48867</v>
      </c>
      <c r="FX2" s="11">
        <f t="shared" si="2"/>
        <v>48874</v>
      </c>
      <c r="FY2" s="11">
        <f t="shared" si="2"/>
        <v>48881</v>
      </c>
      <c r="FZ2" s="11">
        <f t="shared" si="2"/>
        <v>48888</v>
      </c>
      <c r="GA2" s="11">
        <f t="shared" si="2"/>
        <v>48895</v>
      </c>
      <c r="GB2" s="11">
        <f t="shared" si="2"/>
        <v>48902</v>
      </c>
      <c r="GC2" s="11">
        <f t="shared" si="2"/>
        <v>48909</v>
      </c>
      <c r="GD2" s="11">
        <f t="shared" si="2"/>
        <v>48916</v>
      </c>
      <c r="GE2" s="11">
        <f t="shared" si="2"/>
        <v>48923</v>
      </c>
      <c r="GF2" s="11">
        <f t="shared" si="2"/>
        <v>48930</v>
      </c>
      <c r="GG2" s="11">
        <f t="shared" si="2"/>
        <v>48937</v>
      </c>
      <c r="GH2" s="11">
        <f t="shared" si="2"/>
        <v>48944</v>
      </c>
      <c r="GI2" s="11">
        <f t="shared" si="2"/>
        <v>48951</v>
      </c>
      <c r="GJ2" s="11">
        <f t="shared" si="2"/>
        <v>48958</v>
      </c>
      <c r="GK2" s="11">
        <f t="shared" si="2"/>
        <v>48965</v>
      </c>
      <c r="GL2" s="11">
        <f t="shared" si="2"/>
        <v>48972</v>
      </c>
      <c r="GM2" s="11">
        <f t="shared" si="2"/>
        <v>48979</v>
      </c>
      <c r="GN2" s="11">
        <f t="shared" ref="GN2:IA2" si="3">GM2+7</f>
        <v>48986</v>
      </c>
      <c r="GO2" s="11">
        <f t="shared" si="3"/>
        <v>48993</v>
      </c>
      <c r="GP2" s="11">
        <f t="shared" si="3"/>
        <v>49000</v>
      </c>
      <c r="GQ2" s="11">
        <f t="shared" si="3"/>
        <v>49007</v>
      </c>
      <c r="GR2" s="11">
        <f t="shared" si="3"/>
        <v>49014</v>
      </c>
      <c r="GS2" s="11">
        <f t="shared" si="3"/>
        <v>49021</v>
      </c>
      <c r="GT2" s="11">
        <f t="shared" si="3"/>
        <v>49028</v>
      </c>
      <c r="GU2" s="11">
        <f t="shared" si="3"/>
        <v>49035</v>
      </c>
      <c r="GV2" s="11">
        <f t="shared" si="3"/>
        <v>49042</v>
      </c>
      <c r="GW2" s="11">
        <f t="shared" si="3"/>
        <v>49049</v>
      </c>
      <c r="GX2" s="11">
        <f t="shared" si="3"/>
        <v>49056</v>
      </c>
      <c r="GY2" s="11">
        <f t="shared" si="3"/>
        <v>49063</v>
      </c>
      <c r="GZ2" s="11">
        <f t="shared" si="3"/>
        <v>49070</v>
      </c>
      <c r="HA2" s="11">
        <f t="shared" si="3"/>
        <v>49077</v>
      </c>
      <c r="HB2" s="11">
        <f t="shared" si="3"/>
        <v>49084</v>
      </c>
      <c r="HC2" s="11">
        <f t="shared" si="3"/>
        <v>49091</v>
      </c>
      <c r="HD2" s="11">
        <f t="shared" si="3"/>
        <v>49098</v>
      </c>
      <c r="HE2" s="11">
        <f t="shared" si="3"/>
        <v>49105</v>
      </c>
      <c r="HF2" s="11">
        <f t="shared" si="3"/>
        <v>49112</v>
      </c>
      <c r="HG2" s="11">
        <f t="shared" si="3"/>
        <v>49119</v>
      </c>
      <c r="HH2" s="11">
        <f t="shared" si="3"/>
        <v>49126</v>
      </c>
      <c r="HI2" s="11">
        <f t="shared" si="3"/>
        <v>49133</v>
      </c>
      <c r="HJ2" s="11">
        <f t="shared" si="3"/>
        <v>49140</v>
      </c>
      <c r="HK2" s="11">
        <f t="shared" si="3"/>
        <v>49147</v>
      </c>
      <c r="HL2" s="11">
        <f t="shared" si="3"/>
        <v>49154</v>
      </c>
      <c r="HM2" s="11">
        <f t="shared" si="3"/>
        <v>49161</v>
      </c>
      <c r="HN2" s="11">
        <f t="shared" si="3"/>
        <v>49168</v>
      </c>
      <c r="HO2" s="11">
        <f t="shared" si="3"/>
        <v>49175</v>
      </c>
      <c r="HP2" s="11">
        <f t="shared" si="3"/>
        <v>49182</v>
      </c>
      <c r="HQ2" s="11">
        <f t="shared" si="3"/>
        <v>49189</v>
      </c>
      <c r="HR2" s="11">
        <f t="shared" si="3"/>
        <v>49196</v>
      </c>
      <c r="HS2" s="11">
        <f t="shared" si="3"/>
        <v>49203</v>
      </c>
      <c r="HT2" s="11">
        <f t="shared" si="3"/>
        <v>49210</v>
      </c>
      <c r="HU2" s="11">
        <f t="shared" si="3"/>
        <v>49217</v>
      </c>
      <c r="HV2" s="11">
        <f t="shared" si="3"/>
        <v>49224</v>
      </c>
      <c r="HW2" s="11">
        <f t="shared" si="3"/>
        <v>49231</v>
      </c>
      <c r="HX2" s="11">
        <f t="shared" si="3"/>
        <v>49238</v>
      </c>
      <c r="HY2" s="11">
        <f t="shared" si="3"/>
        <v>49245</v>
      </c>
      <c r="HZ2" s="11">
        <f t="shared" si="3"/>
        <v>49252</v>
      </c>
      <c r="IA2" s="11">
        <f t="shared" si="3"/>
        <v>49259</v>
      </c>
    </row>
    <row r="3" spans="2:235" x14ac:dyDescent="0.3">
      <c r="B3" t="s">
        <v>12</v>
      </c>
      <c r="C3" s="29">
        <v>100</v>
      </c>
      <c r="D3" s="3">
        <v>100</v>
      </c>
      <c r="E3" s="3">
        <v>100</v>
      </c>
      <c r="F3" s="3">
        <v>100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>
        <v>100</v>
      </c>
      <c r="M3" s="3">
        <v>100</v>
      </c>
      <c r="N3" s="3">
        <v>100</v>
      </c>
      <c r="O3" s="3">
        <v>100</v>
      </c>
      <c r="P3" s="3">
        <v>100</v>
      </c>
      <c r="Q3" s="3">
        <v>100</v>
      </c>
      <c r="R3" s="3">
        <v>100</v>
      </c>
      <c r="S3" s="3">
        <v>100</v>
      </c>
      <c r="T3" s="3">
        <v>100</v>
      </c>
      <c r="U3" s="3">
        <v>100</v>
      </c>
      <c r="V3" s="3">
        <v>100</v>
      </c>
      <c r="W3" s="3">
        <v>100</v>
      </c>
      <c r="X3" s="3">
        <v>100</v>
      </c>
      <c r="Y3" s="3">
        <v>100</v>
      </c>
      <c r="Z3" s="3">
        <v>100</v>
      </c>
      <c r="AA3" s="3">
        <v>100</v>
      </c>
      <c r="AB3" s="3">
        <v>100</v>
      </c>
      <c r="AC3" s="3">
        <v>100</v>
      </c>
      <c r="AD3" s="3">
        <v>100</v>
      </c>
      <c r="AE3" s="3">
        <v>100</v>
      </c>
      <c r="AF3" s="3">
        <v>100</v>
      </c>
      <c r="AG3" s="3">
        <v>100</v>
      </c>
      <c r="AH3" s="3">
        <v>100</v>
      </c>
      <c r="AI3" s="3">
        <v>100</v>
      </c>
      <c r="AJ3" s="3">
        <v>100</v>
      </c>
      <c r="AK3" s="3">
        <v>100</v>
      </c>
      <c r="AL3" s="3">
        <v>100</v>
      </c>
      <c r="AM3" s="3">
        <v>100</v>
      </c>
      <c r="AN3" s="3">
        <v>100</v>
      </c>
      <c r="AO3" s="3">
        <v>100</v>
      </c>
      <c r="AP3" s="3">
        <v>100</v>
      </c>
      <c r="AQ3" s="3">
        <v>100</v>
      </c>
      <c r="AR3" s="3">
        <v>100</v>
      </c>
      <c r="AS3" s="3">
        <v>100</v>
      </c>
      <c r="AT3" s="3">
        <v>100</v>
      </c>
      <c r="AU3" s="3">
        <v>100</v>
      </c>
      <c r="AV3" s="3">
        <v>100</v>
      </c>
      <c r="AW3" s="3">
        <v>100</v>
      </c>
      <c r="AX3" s="3">
        <v>100</v>
      </c>
      <c r="AY3" s="3">
        <v>100</v>
      </c>
      <c r="AZ3" s="3">
        <v>100</v>
      </c>
      <c r="BA3" s="3">
        <v>100</v>
      </c>
      <c r="BB3" s="3">
        <v>100</v>
      </c>
      <c r="BC3" s="3">
        <v>100</v>
      </c>
      <c r="BD3" s="3">
        <v>100</v>
      </c>
      <c r="BE3" s="3">
        <v>100</v>
      </c>
      <c r="BF3" s="3">
        <v>100</v>
      </c>
      <c r="BG3" s="3">
        <v>100</v>
      </c>
      <c r="BH3" s="3">
        <v>100</v>
      </c>
      <c r="BI3" s="3">
        <v>100</v>
      </c>
      <c r="BJ3" s="3">
        <v>100</v>
      </c>
      <c r="BK3" s="3">
        <v>100</v>
      </c>
      <c r="BL3" s="3">
        <v>100</v>
      </c>
      <c r="BM3" s="3">
        <v>100</v>
      </c>
      <c r="BN3" s="3">
        <v>100</v>
      </c>
      <c r="BO3" s="3">
        <v>100</v>
      </c>
      <c r="BP3" s="3">
        <v>100</v>
      </c>
      <c r="BQ3" s="3">
        <v>100</v>
      </c>
      <c r="BR3" s="3">
        <v>100</v>
      </c>
      <c r="BS3" s="3">
        <v>100</v>
      </c>
      <c r="BT3" s="3">
        <v>100</v>
      </c>
      <c r="BU3" s="3">
        <v>100</v>
      </c>
      <c r="BV3" s="3">
        <v>100</v>
      </c>
      <c r="BW3" s="3">
        <v>100</v>
      </c>
      <c r="BX3" s="3">
        <v>100</v>
      </c>
      <c r="BY3" s="3">
        <v>100</v>
      </c>
      <c r="BZ3" s="3">
        <v>100</v>
      </c>
      <c r="CA3" s="3">
        <v>100</v>
      </c>
      <c r="CB3" s="3">
        <v>100</v>
      </c>
      <c r="CC3" s="3">
        <v>100</v>
      </c>
      <c r="CD3" s="3">
        <v>100</v>
      </c>
      <c r="CE3" s="3">
        <v>100</v>
      </c>
      <c r="CF3" s="3">
        <v>100</v>
      </c>
      <c r="CG3" s="3">
        <v>100</v>
      </c>
      <c r="CH3" s="3">
        <v>100</v>
      </c>
      <c r="CI3" s="3">
        <v>100</v>
      </c>
      <c r="CJ3" s="3">
        <v>100</v>
      </c>
      <c r="CK3" s="3">
        <v>100</v>
      </c>
      <c r="CL3" s="3">
        <v>100</v>
      </c>
      <c r="CM3" s="3">
        <v>100</v>
      </c>
      <c r="CN3" s="3">
        <v>100</v>
      </c>
      <c r="CO3" s="3">
        <v>100</v>
      </c>
      <c r="CP3" s="3">
        <v>100</v>
      </c>
      <c r="CQ3" s="3">
        <v>100</v>
      </c>
      <c r="CR3" s="3">
        <v>100</v>
      </c>
      <c r="CS3" s="3">
        <v>100</v>
      </c>
      <c r="CT3" s="3">
        <v>100</v>
      </c>
      <c r="CU3" s="3">
        <v>100</v>
      </c>
      <c r="CV3" s="3">
        <v>100</v>
      </c>
      <c r="CW3" s="3">
        <v>100</v>
      </c>
      <c r="CX3" s="3">
        <v>100</v>
      </c>
      <c r="CY3" s="3">
        <v>100</v>
      </c>
      <c r="CZ3" s="3">
        <v>100</v>
      </c>
      <c r="DA3" s="3">
        <v>100</v>
      </c>
      <c r="DB3" s="3">
        <v>100</v>
      </c>
      <c r="DC3" s="3">
        <v>100</v>
      </c>
      <c r="DD3" s="3">
        <v>100</v>
      </c>
      <c r="DE3" s="3">
        <v>100</v>
      </c>
      <c r="DF3" s="3">
        <v>100</v>
      </c>
      <c r="DG3" s="3">
        <v>100</v>
      </c>
      <c r="DH3" s="3">
        <v>100</v>
      </c>
      <c r="DI3" s="3">
        <v>100</v>
      </c>
      <c r="DJ3" s="3">
        <v>100</v>
      </c>
      <c r="DK3" s="3">
        <v>100</v>
      </c>
      <c r="DL3" s="3">
        <v>100</v>
      </c>
      <c r="DM3" s="3">
        <v>100</v>
      </c>
      <c r="DN3" s="3">
        <v>100</v>
      </c>
      <c r="DO3" s="3">
        <v>100</v>
      </c>
      <c r="DP3" s="3">
        <v>100</v>
      </c>
      <c r="DQ3" s="3">
        <v>100</v>
      </c>
      <c r="DR3" s="3">
        <v>100</v>
      </c>
      <c r="DS3" s="3">
        <v>100</v>
      </c>
      <c r="DT3" s="3">
        <v>100</v>
      </c>
      <c r="DU3" s="3">
        <v>100</v>
      </c>
      <c r="DV3" s="3">
        <v>100</v>
      </c>
      <c r="DW3" s="3">
        <v>100</v>
      </c>
      <c r="DX3" s="3">
        <v>100</v>
      </c>
      <c r="DY3" s="3">
        <v>100</v>
      </c>
      <c r="DZ3" s="3">
        <v>100</v>
      </c>
      <c r="EA3" s="3">
        <v>100</v>
      </c>
      <c r="EB3" s="3">
        <v>100</v>
      </c>
      <c r="EC3" s="3">
        <v>100</v>
      </c>
      <c r="ED3" s="3">
        <v>100</v>
      </c>
      <c r="EE3" s="3">
        <v>100</v>
      </c>
      <c r="EF3" s="3">
        <v>100</v>
      </c>
      <c r="EG3" s="3">
        <v>100</v>
      </c>
      <c r="EH3" s="3">
        <v>100</v>
      </c>
      <c r="EI3" s="3">
        <v>100</v>
      </c>
      <c r="EJ3" s="3">
        <v>100</v>
      </c>
      <c r="EK3" s="3">
        <v>100</v>
      </c>
      <c r="EL3" s="3">
        <v>100</v>
      </c>
      <c r="EM3" s="3">
        <v>100</v>
      </c>
      <c r="EN3" s="3">
        <v>100</v>
      </c>
      <c r="EO3" s="3">
        <v>100</v>
      </c>
      <c r="EP3" s="3">
        <v>100</v>
      </c>
      <c r="EQ3" s="3">
        <v>100</v>
      </c>
      <c r="ER3" s="3">
        <v>100</v>
      </c>
      <c r="ES3" s="3">
        <v>100</v>
      </c>
      <c r="ET3" s="3">
        <v>100</v>
      </c>
      <c r="EU3" s="3">
        <v>100</v>
      </c>
      <c r="EV3" s="3">
        <v>100</v>
      </c>
      <c r="EW3" s="3">
        <v>100</v>
      </c>
      <c r="EX3" s="3">
        <v>100</v>
      </c>
      <c r="EY3" s="3">
        <v>100</v>
      </c>
      <c r="EZ3" s="3">
        <v>100</v>
      </c>
      <c r="FA3" s="3">
        <v>100</v>
      </c>
      <c r="FB3" s="3">
        <v>100</v>
      </c>
      <c r="FC3" s="3">
        <v>100</v>
      </c>
      <c r="FD3" s="3">
        <v>100</v>
      </c>
      <c r="FE3" s="3">
        <v>100</v>
      </c>
      <c r="FF3" s="3">
        <v>100</v>
      </c>
      <c r="FG3" s="3">
        <v>100</v>
      </c>
      <c r="FH3" s="3">
        <v>100</v>
      </c>
      <c r="FI3" s="3">
        <v>100</v>
      </c>
      <c r="FJ3" s="3">
        <v>100</v>
      </c>
      <c r="FK3" s="3">
        <v>100</v>
      </c>
      <c r="FL3" s="3">
        <v>100</v>
      </c>
      <c r="FM3" s="3">
        <v>100</v>
      </c>
      <c r="FN3" s="3">
        <v>100</v>
      </c>
      <c r="FO3" s="3">
        <v>100</v>
      </c>
      <c r="FP3" s="3">
        <v>100</v>
      </c>
      <c r="FQ3" s="3">
        <v>100</v>
      </c>
      <c r="FR3" s="3">
        <v>100</v>
      </c>
      <c r="FS3" s="3">
        <v>100</v>
      </c>
      <c r="FT3" s="3">
        <v>100</v>
      </c>
      <c r="FU3" s="3">
        <v>100</v>
      </c>
      <c r="FV3" s="3">
        <v>100</v>
      </c>
      <c r="FW3" s="3">
        <v>100</v>
      </c>
      <c r="FX3" s="3">
        <v>100</v>
      </c>
      <c r="FY3" s="3">
        <v>100</v>
      </c>
      <c r="FZ3" s="3">
        <v>100</v>
      </c>
      <c r="GA3" s="3">
        <v>100</v>
      </c>
      <c r="GB3" s="3">
        <v>100</v>
      </c>
      <c r="GC3" s="3">
        <v>100</v>
      </c>
      <c r="GD3" s="3">
        <v>100</v>
      </c>
      <c r="GE3" s="3">
        <v>100</v>
      </c>
      <c r="GF3" s="3">
        <v>100</v>
      </c>
      <c r="GG3" s="3">
        <v>100</v>
      </c>
      <c r="GH3" s="3">
        <v>100</v>
      </c>
      <c r="GI3" s="3">
        <v>100</v>
      </c>
      <c r="GJ3" s="3">
        <v>100</v>
      </c>
      <c r="GK3" s="3">
        <v>100</v>
      </c>
      <c r="GL3" s="3">
        <v>100</v>
      </c>
      <c r="GM3" s="3">
        <v>100</v>
      </c>
      <c r="GN3" s="3">
        <v>100</v>
      </c>
      <c r="GO3" s="3">
        <v>100</v>
      </c>
      <c r="GP3" s="3">
        <v>100</v>
      </c>
      <c r="GQ3" s="3">
        <v>100</v>
      </c>
      <c r="GR3" s="3">
        <v>100</v>
      </c>
      <c r="GS3" s="3">
        <v>100</v>
      </c>
      <c r="GT3" s="3">
        <v>100</v>
      </c>
      <c r="GU3" s="3">
        <v>100</v>
      </c>
      <c r="GV3" s="3">
        <v>100</v>
      </c>
      <c r="GW3" s="3">
        <v>100</v>
      </c>
      <c r="GX3" s="3">
        <v>100</v>
      </c>
      <c r="GY3" s="3">
        <v>100</v>
      </c>
      <c r="GZ3" s="3">
        <v>100</v>
      </c>
      <c r="HA3" s="3">
        <v>100</v>
      </c>
      <c r="HB3" s="3">
        <v>100</v>
      </c>
      <c r="HC3" s="3">
        <v>100</v>
      </c>
      <c r="HD3" s="3">
        <v>100</v>
      </c>
      <c r="HE3" s="3">
        <v>100</v>
      </c>
      <c r="HF3" s="3">
        <v>100</v>
      </c>
      <c r="HG3" s="3">
        <v>100</v>
      </c>
      <c r="HH3" s="3">
        <v>100</v>
      </c>
      <c r="HI3" s="3">
        <v>100</v>
      </c>
      <c r="HJ3" s="3">
        <v>100</v>
      </c>
      <c r="HK3" s="3">
        <v>100</v>
      </c>
      <c r="HL3" s="3">
        <v>100</v>
      </c>
      <c r="HM3" s="3">
        <v>100</v>
      </c>
      <c r="HN3" s="3">
        <v>100</v>
      </c>
      <c r="HO3" s="3">
        <v>100</v>
      </c>
      <c r="HP3" s="3">
        <v>100</v>
      </c>
      <c r="HQ3" s="3">
        <v>100</v>
      </c>
      <c r="HR3" s="3">
        <v>100</v>
      </c>
      <c r="HS3" s="3">
        <v>100</v>
      </c>
      <c r="HT3" s="3">
        <v>100</v>
      </c>
      <c r="HU3" s="3">
        <v>100</v>
      </c>
      <c r="HV3" s="3">
        <v>100</v>
      </c>
      <c r="HW3" s="3">
        <v>100</v>
      </c>
      <c r="HX3" s="3">
        <v>100</v>
      </c>
      <c r="HY3" s="3">
        <v>100</v>
      </c>
      <c r="HZ3" s="3">
        <v>100</v>
      </c>
      <c r="IA3" s="3">
        <v>100</v>
      </c>
    </row>
    <row r="4" spans="2:235" x14ac:dyDescent="0.3">
      <c r="B4" t="s">
        <v>6</v>
      </c>
      <c r="C4" s="3">
        <f t="shared" ref="C4:AH4" si="4">SUM(C5:C7)</f>
        <v>3</v>
      </c>
      <c r="D4" s="3">
        <f t="shared" si="4"/>
        <v>7</v>
      </c>
      <c r="E4" s="3">
        <f t="shared" si="4"/>
        <v>12</v>
      </c>
      <c r="F4" s="3">
        <f t="shared" si="4"/>
        <v>15</v>
      </c>
      <c r="G4" s="3">
        <f t="shared" si="4"/>
        <v>18</v>
      </c>
      <c r="H4" s="3">
        <f t="shared" si="4"/>
        <v>23</v>
      </c>
      <c r="I4" s="3">
        <f t="shared" si="4"/>
        <v>31</v>
      </c>
      <c r="J4" s="3">
        <f t="shared" si="4"/>
        <v>32</v>
      </c>
      <c r="K4" s="3">
        <f t="shared" si="4"/>
        <v>37</v>
      </c>
      <c r="L4" s="3">
        <f t="shared" si="4"/>
        <v>41</v>
      </c>
      <c r="M4" s="3">
        <f t="shared" si="4"/>
        <v>45</v>
      </c>
      <c r="N4" s="3">
        <f t="shared" si="4"/>
        <v>45</v>
      </c>
      <c r="O4" s="3">
        <f t="shared" si="4"/>
        <v>45</v>
      </c>
      <c r="P4" s="3">
        <f t="shared" si="4"/>
        <v>48</v>
      </c>
      <c r="Q4" s="3">
        <f t="shared" si="4"/>
        <v>53</v>
      </c>
      <c r="R4" s="3">
        <f t="shared" si="4"/>
        <v>58</v>
      </c>
      <c r="S4" s="3">
        <f t="shared" si="4"/>
        <v>0</v>
      </c>
      <c r="T4" s="3">
        <f t="shared" si="4"/>
        <v>0</v>
      </c>
      <c r="U4" s="3">
        <f t="shared" si="4"/>
        <v>0</v>
      </c>
      <c r="V4" s="3">
        <f t="shared" si="4"/>
        <v>0</v>
      </c>
      <c r="W4" s="3">
        <f t="shared" si="4"/>
        <v>0</v>
      </c>
      <c r="X4" s="3">
        <f t="shared" si="4"/>
        <v>0</v>
      </c>
      <c r="Y4" s="3">
        <f t="shared" si="4"/>
        <v>0</v>
      </c>
      <c r="Z4" s="3">
        <f t="shared" si="4"/>
        <v>0</v>
      </c>
      <c r="AA4" s="3">
        <f t="shared" si="4"/>
        <v>0</v>
      </c>
      <c r="AB4" s="3">
        <f t="shared" si="4"/>
        <v>0</v>
      </c>
      <c r="AC4" s="3">
        <f t="shared" si="4"/>
        <v>0</v>
      </c>
      <c r="AD4" s="3">
        <f t="shared" si="4"/>
        <v>0</v>
      </c>
      <c r="AE4" s="3">
        <f t="shared" si="4"/>
        <v>0</v>
      </c>
      <c r="AF4" s="3">
        <f t="shared" si="4"/>
        <v>0</v>
      </c>
      <c r="AG4" s="3">
        <f t="shared" si="4"/>
        <v>0</v>
      </c>
      <c r="AH4" s="3">
        <f t="shared" si="4"/>
        <v>0</v>
      </c>
      <c r="AI4" s="3">
        <f t="shared" ref="AI4:BN4" si="5">SUM(AI5:AI7)</f>
        <v>0</v>
      </c>
      <c r="AJ4" s="3">
        <f t="shared" si="5"/>
        <v>0</v>
      </c>
      <c r="AK4" s="3">
        <f t="shared" si="5"/>
        <v>0</v>
      </c>
      <c r="AL4" s="3">
        <f t="shared" si="5"/>
        <v>0</v>
      </c>
      <c r="AM4" s="3">
        <f t="shared" si="5"/>
        <v>0</v>
      </c>
      <c r="AN4" s="3">
        <f t="shared" si="5"/>
        <v>0</v>
      </c>
      <c r="AO4" s="3">
        <f t="shared" si="5"/>
        <v>0</v>
      </c>
      <c r="AP4" s="3">
        <f t="shared" si="5"/>
        <v>0</v>
      </c>
      <c r="AQ4" s="3">
        <f t="shared" si="5"/>
        <v>0</v>
      </c>
      <c r="AR4" s="3">
        <f t="shared" si="5"/>
        <v>0</v>
      </c>
      <c r="AS4" s="3">
        <f t="shared" si="5"/>
        <v>0</v>
      </c>
      <c r="AT4" s="3">
        <f t="shared" si="5"/>
        <v>0</v>
      </c>
      <c r="AU4" s="3">
        <f t="shared" si="5"/>
        <v>0</v>
      </c>
      <c r="AV4" s="3">
        <f t="shared" si="5"/>
        <v>0</v>
      </c>
      <c r="AW4" s="3">
        <f t="shared" si="5"/>
        <v>0</v>
      </c>
      <c r="AX4" s="3">
        <f t="shared" si="5"/>
        <v>0</v>
      </c>
      <c r="AY4" s="3">
        <f t="shared" si="5"/>
        <v>0</v>
      </c>
      <c r="AZ4" s="3">
        <f t="shared" si="5"/>
        <v>0</v>
      </c>
      <c r="BA4" s="3">
        <f t="shared" si="5"/>
        <v>0</v>
      </c>
      <c r="BB4" s="3">
        <f t="shared" si="5"/>
        <v>0</v>
      </c>
      <c r="BC4" s="3">
        <f t="shared" si="5"/>
        <v>0</v>
      </c>
      <c r="BD4" s="3">
        <f t="shared" si="5"/>
        <v>0</v>
      </c>
      <c r="BE4" s="3">
        <f t="shared" si="5"/>
        <v>0</v>
      </c>
      <c r="BF4" s="3">
        <f t="shared" si="5"/>
        <v>0</v>
      </c>
      <c r="BG4" s="3">
        <f t="shared" si="5"/>
        <v>0</v>
      </c>
      <c r="BH4" s="3">
        <f t="shared" si="5"/>
        <v>0</v>
      </c>
      <c r="BI4" s="3">
        <f t="shared" si="5"/>
        <v>0</v>
      </c>
      <c r="BJ4" s="3">
        <f t="shared" si="5"/>
        <v>0</v>
      </c>
      <c r="BK4" s="3">
        <f t="shared" si="5"/>
        <v>0</v>
      </c>
      <c r="BL4" s="3">
        <f t="shared" si="5"/>
        <v>0</v>
      </c>
      <c r="BM4" s="3">
        <f t="shared" si="5"/>
        <v>0</v>
      </c>
      <c r="BN4" s="3">
        <f t="shared" si="5"/>
        <v>0</v>
      </c>
      <c r="BO4" s="3">
        <f t="shared" ref="BO4:CT4" si="6">SUM(BO5:BO7)</f>
        <v>0</v>
      </c>
      <c r="BP4" s="3">
        <f t="shared" si="6"/>
        <v>0</v>
      </c>
      <c r="BQ4" s="3">
        <f t="shared" si="6"/>
        <v>0</v>
      </c>
      <c r="BR4" s="3">
        <f t="shared" si="6"/>
        <v>0</v>
      </c>
      <c r="BS4" s="3">
        <f t="shared" si="6"/>
        <v>0</v>
      </c>
      <c r="BT4" s="3">
        <f t="shared" si="6"/>
        <v>0</v>
      </c>
      <c r="BU4" s="3">
        <f t="shared" si="6"/>
        <v>0</v>
      </c>
      <c r="BV4" s="3">
        <f t="shared" si="6"/>
        <v>0</v>
      </c>
      <c r="BW4" s="3">
        <f t="shared" si="6"/>
        <v>0</v>
      </c>
      <c r="BX4" s="3">
        <f t="shared" si="6"/>
        <v>0</v>
      </c>
      <c r="BY4" s="3">
        <f t="shared" si="6"/>
        <v>0</v>
      </c>
      <c r="BZ4" s="3">
        <f t="shared" si="6"/>
        <v>0</v>
      </c>
      <c r="CA4" s="3">
        <f t="shared" si="6"/>
        <v>0</v>
      </c>
      <c r="CB4" s="3">
        <f t="shared" si="6"/>
        <v>0</v>
      </c>
      <c r="CC4" s="3">
        <f t="shared" si="6"/>
        <v>0</v>
      </c>
      <c r="CD4" s="3">
        <f t="shared" si="6"/>
        <v>0</v>
      </c>
      <c r="CE4" s="3">
        <f t="shared" si="6"/>
        <v>0</v>
      </c>
      <c r="CF4" s="3">
        <f t="shared" si="6"/>
        <v>0</v>
      </c>
      <c r="CG4" s="3">
        <f t="shared" si="6"/>
        <v>0</v>
      </c>
      <c r="CH4" s="3">
        <f t="shared" si="6"/>
        <v>0</v>
      </c>
      <c r="CI4" s="3">
        <f t="shared" si="6"/>
        <v>0</v>
      </c>
      <c r="CJ4" s="3">
        <f t="shared" si="6"/>
        <v>0</v>
      </c>
      <c r="CK4" s="3">
        <f t="shared" si="6"/>
        <v>0</v>
      </c>
      <c r="CL4" s="3">
        <f t="shared" si="6"/>
        <v>0</v>
      </c>
      <c r="CM4" s="3">
        <f t="shared" si="6"/>
        <v>0</v>
      </c>
      <c r="CN4" s="3">
        <f t="shared" si="6"/>
        <v>0</v>
      </c>
      <c r="CO4" s="3">
        <f t="shared" si="6"/>
        <v>0</v>
      </c>
      <c r="CP4" s="3">
        <f t="shared" si="6"/>
        <v>0</v>
      </c>
      <c r="CQ4" s="3">
        <f t="shared" si="6"/>
        <v>0</v>
      </c>
      <c r="CR4" s="3">
        <f t="shared" si="6"/>
        <v>0</v>
      </c>
      <c r="CS4" s="3">
        <f t="shared" si="6"/>
        <v>0</v>
      </c>
      <c r="CT4" s="3">
        <f t="shared" si="6"/>
        <v>0</v>
      </c>
      <c r="CU4" s="3">
        <f>SUM(CU5:CU7)</f>
        <v>0</v>
      </c>
      <c r="CV4" s="3">
        <f>SUM(CV5:CV7)</f>
        <v>0</v>
      </c>
      <c r="CW4" s="3">
        <f>SUM(CW5:CW7)</f>
        <v>0</v>
      </c>
      <c r="CX4" s="3">
        <f>SUM(CX5:CX7)</f>
        <v>0</v>
      </c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</row>
    <row r="5" spans="2:235" x14ac:dyDescent="0.3">
      <c r="B5" t="s">
        <v>0</v>
      </c>
      <c r="C5" s="3">
        <v>1</v>
      </c>
      <c r="D5" s="3">
        <v>3</v>
      </c>
      <c r="E5" s="3">
        <v>7</v>
      </c>
      <c r="F5" s="3">
        <v>8</v>
      </c>
      <c r="G5" s="3">
        <v>11</v>
      </c>
      <c r="H5" s="3">
        <v>16</v>
      </c>
      <c r="I5" s="3">
        <v>17</v>
      </c>
      <c r="J5" s="3">
        <v>18</v>
      </c>
      <c r="K5" s="3">
        <v>23</v>
      </c>
      <c r="L5" s="3">
        <v>27</v>
      </c>
      <c r="M5" s="3">
        <v>31</v>
      </c>
      <c r="N5" s="3">
        <v>31</v>
      </c>
      <c r="O5" s="3">
        <v>31</v>
      </c>
      <c r="P5" s="3">
        <v>35</v>
      </c>
      <c r="Q5" s="3">
        <v>40</v>
      </c>
      <c r="R5" s="3">
        <v>45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</row>
    <row r="6" spans="2:235" x14ac:dyDescent="0.3">
      <c r="B6" t="s">
        <v>1</v>
      </c>
      <c r="C6" s="3">
        <v>2</v>
      </c>
      <c r="D6" s="3">
        <v>4</v>
      </c>
      <c r="E6" s="3">
        <v>5</v>
      </c>
      <c r="F6" s="3">
        <v>7</v>
      </c>
      <c r="G6" s="3">
        <v>7</v>
      </c>
      <c r="H6" s="3">
        <v>7</v>
      </c>
      <c r="I6" s="3">
        <v>12</v>
      </c>
      <c r="J6" s="3">
        <v>12</v>
      </c>
      <c r="K6" s="3">
        <v>12</v>
      </c>
      <c r="L6" s="3">
        <v>12</v>
      </c>
      <c r="M6" s="3">
        <v>12</v>
      </c>
      <c r="N6" s="3">
        <v>12</v>
      </c>
      <c r="O6" s="3">
        <v>12</v>
      </c>
      <c r="P6" s="3">
        <v>11</v>
      </c>
      <c r="Q6" s="3">
        <v>11</v>
      </c>
      <c r="R6" s="3">
        <v>11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</row>
    <row r="7" spans="2:235" x14ac:dyDescent="0.3">
      <c r="B7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</v>
      </c>
      <c r="J7" s="3">
        <v>2</v>
      </c>
      <c r="K7" s="3">
        <v>2</v>
      </c>
      <c r="L7" s="3">
        <v>2</v>
      </c>
      <c r="M7" s="3">
        <v>2</v>
      </c>
      <c r="N7" s="3">
        <v>2</v>
      </c>
      <c r="O7" s="3">
        <v>2</v>
      </c>
      <c r="P7" s="3">
        <v>2</v>
      </c>
      <c r="Q7" s="3">
        <v>2</v>
      </c>
      <c r="R7" s="3">
        <v>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</row>
    <row r="8" spans="2:235" x14ac:dyDescent="0.3">
      <c r="C8" s="3"/>
      <c r="M8" s="3">
        <v>47</v>
      </c>
    </row>
    <row r="10" spans="2:235" x14ac:dyDescent="0.3">
      <c r="C10" s="12">
        <f t="shared" ref="C10:AH10" si="7">C2</f>
        <v>47635</v>
      </c>
      <c r="D10" s="12">
        <f t="shared" si="7"/>
        <v>47642</v>
      </c>
      <c r="E10" s="12">
        <f t="shared" si="7"/>
        <v>47649</v>
      </c>
      <c r="F10" s="12">
        <f t="shared" si="7"/>
        <v>47656</v>
      </c>
      <c r="G10" s="12">
        <f t="shared" si="7"/>
        <v>47663</v>
      </c>
      <c r="H10" s="12">
        <f t="shared" si="7"/>
        <v>47670</v>
      </c>
      <c r="I10" s="12">
        <f t="shared" si="7"/>
        <v>47677</v>
      </c>
      <c r="J10" s="12">
        <f t="shared" si="7"/>
        <v>47684</v>
      </c>
      <c r="K10" s="12">
        <f t="shared" si="7"/>
        <v>47691</v>
      </c>
      <c r="L10" s="12">
        <f t="shared" si="7"/>
        <v>47698</v>
      </c>
      <c r="M10" s="12">
        <f t="shared" si="7"/>
        <v>47705</v>
      </c>
      <c r="N10" s="12">
        <f t="shared" si="7"/>
        <v>47712</v>
      </c>
      <c r="O10" s="12">
        <f t="shared" si="7"/>
        <v>47719</v>
      </c>
      <c r="P10" s="12">
        <f t="shared" si="7"/>
        <v>47726</v>
      </c>
      <c r="Q10" s="12">
        <f t="shared" si="7"/>
        <v>47733</v>
      </c>
      <c r="R10" s="12">
        <f t="shared" si="7"/>
        <v>47740</v>
      </c>
      <c r="S10" s="12">
        <f t="shared" si="7"/>
        <v>47747</v>
      </c>
      <c r="T10" s="12">
        <f t="shared" si="7"/>
        <v>47754</v>
      </c>
      <c r="U10" s="12">
        <f t="shared" si="7"/>
        <v>47761</v>
      </c>
      <c r="V10" s="12">
        <f t="shared" si="7"/>
        <v>47768</v>
      </c>
      <c r="W10" s="12">
        <f t="shared" si="7"/>
        <v>47775</v>
      </c>
      <c r="X10" s="12">
        <f t="shared" si="7"/>
        <v>47782</v>
      </c>
      <c r="Y10" s="12">
        <f t="shared" si="7"/>
        <v>47789</v>
      </c>
      <c r="Z10" s="12">
        <f t="shared" si="7"/>
        <v>47796</v>
      </c>
      <c r="AA10" s="12">
        <f t="shared" si="7"/>
        <v>47803</v>
      </c>
      <c r="AB10" s="12">
        <f t="shared" si="7"/>
        <v>47810</v>
      </c>
      <c r="AC10" s="12">
        <f t="shared" si="7"/>
        <v>47817</v>
      </c>
      <c r="AD10" s="12">
        <f t="shared" si="7"/>
        <v>47824</v>
      </c>
      <c r="AE10" s="12">
        <f t="shared" si="7"/>
        <v>47831</v>
      </c>
      <c r="AF10" s="12">
        <f t="shared" si="7"/>
        <v>47838</v>
      </c>
      <c r="AG10" s="12">
        <f t="shared" si="7"/>
        <v>47845</v>
      </c>
      <c r="AH10" s="12">
        <f t="shared" si="7"/>
        <v>47852</v>
      </c>
      <c r="AI10" s="12">
        <f t="shared" ref="AI10:BN10" si="8">AI2</f>
        <v>47859</v>
      </c>
      <c r="AJ10" s="12">
        <f t="shared" si="8"/>
        <v>47866</v>
      </c>
      <c r="AK10" s="12">
        <f t="shared" si="8"/>
        <v>47873</v>
      </c>
      <c r="AL10" s="12">
        <f t="shared" si="8"/>
        <v>47880</v>
      </c>
      <c r="AM10" s="12">
        <f t="shared" si="8"/>
        <v>47887</v>
      </c>
      <c r="AN10" s="12">
        <f t="shared" si="8"/>
        <v>47894</v>
      </c>
      <c r="AO10" s="12">
        <f t="shared" si="8"/>
        <v>47901</v>
      </c>
      <c r="AP10" s="12">
        <f t="shared" si="8"/>
        <v>47908</v>
      </c>
      <c r="AQ10" s="12">
        <f t="shared" si="8"/>
        <v>47915</v>
      </c>
      <c r="AR10" s="12">
        <f t="shared" si="8"/>
        <v>47922</v>
      </c>
      <c r="AS10" s="12">
        <f t="shared" si="8"/>
        <v>47929</v>
      </c>
      <c r="AT10" s="12">
        <f t="shared" si="8"/>
        <v>47936</v>
      </c>
      <c r="AU10" s="12">
        <f t="shared" si="8"/>
        <v>47943</v>
      </c>
      <c r="AV10" s="12">
        <f t="shared" si="8"/>
        <v>47950</v>
      </c>
      <c r="AW10" s="12">
        <f t="shared" si="8"/>
        <v>47957</v>
      </c>
      <c r="AX10" s="12">
        <f t="shared" si="8"/>
        <v>47964</v>
      </c>
      <c r="AY10" s="12">
        <f t="shared" si="8"/>
        <v>47971</v>
      </c>
      <c r="AZ10" s="12">
        <f t="shared" si="8"/>
        <v>47978</v>
      </c>
      <c r="BA10" s="12">
        <f t="shared" si="8"/>
        <v>47985</v>
      </c>
      <c r="BB10" s="12">
        <f t="shared" si="8"/>
        <v>47992</v>
      </c>
      <c r="BC10" s="12">
        <f t="shared" si="8"/>
        <v>47999</v>
      </c>
      <c r="BD10" s="12">
        <f t="shared" si="8"/>
        <v>48006</v>
      </c>
      <c r="BE10" s="12">
        <f t="shared" si="8"/>
        <v>48013</v>
      </c>
      <c r="BF10" s="12">
        <f t="shared" si="8"/>
        <v>48020</v>
      </c>
      <c r="BG10" s="12">
        <f t="shared" si="8"/>
        <v>48027</v>
      </c>
      <c r="BH10" s="12">
        <f t="shared" si="8"/>
        <v>48034</v>
      </c>
      <c r="BI10" s="12">
        <f t="shared" si="8"/>
        <v>48041</v>
      </c>
      <c r="BJ10" s="12">
        <f t="shared" si="8"/>
        <v>48048</v>
      </c>
      <c r="BK10" s="12">
        <f t="shared" si="8"/>
        <v>48055</v>
      </c>
      <c r="BL10" s="12">
        <f t="shared" si="8"/>
        <v>48062</v>
      </c>
      <c r="BM10" s="12">
        <f t="shared" si="8"/>
        <v>48069</v>
      </c>
      <c r="BN10" s="12">
        <f t="shared" si="8"/>
        <v>48076</v>
      </c>
      <c r="BO10" s="12">
        <f t="shared" ref="BO10:CT10" si="9">BO2</f>
        <v>48083</v>
      </c>
      <c r="BP10" s="12">
        <f t="shared" si="9"/>
        <v>48090</v>
      </c>
      <c r="BQ10" s="12">
        <f t="shared" si="9"/>
        <v>48097</v>
      </c>
      <c r="BR10" s="12">
        <f t="shared" si="9"/>
        <v>48104</v>
      </c>
      <c r="BS10" s="12">
        <f t="shared" si="9"/>
        <v>48111</v>
      </c>
      <c r="BT10" s="12">
        <f t="shared" si="9"/>
        <v>48118</v>
      </c>
      <c r="BU10" s="12">
        <f t="shared" si="9"/>
        <v>48125</v>
      </c>
      <c r="BV10" s="12">
        <f t="shared" si="9"/>
        <v>48132</v>
      </c>
      <c r="BW10" s="12">
        <f t="shared" si="9"/>
        <v>48139</v>
      </c>
      <c r="BX10" s="12">
        <f t="shared" si="9"/>
        <v>48146</v>
      </c>
      <c r="BY10" s="12">
        <f t="shared" si="9"/>
        <v>48153</v>
      </c>
      <c r="BZ10" s="12">
        <f t="shared" si="9"/>
        <v>48160</v>
      </c>
      <c r="CA10" s="12">
        <f t="shared" si="9"/>
        <v>48167</v>
      </c>
      <c r="CB10" s="12">
        <f t="shared" si="9"/>
        <v>48174</v>
      </c>
      <c r="CC10" s="12">
        <f t="shared" si="9"/>
        <v>48181</v>
      </c>
      <c r="CD10" s="12">
        <f t="shared" si="9"/>
        <v>48188</v>
      </c>
      <c r="CE10" s="12">
        <f t="shared" si="9"/>
        <v>48195</v>
      </c>
      <c r="CF10" s="12">
        <f t="shared" si="9"/>
        <v>48202</v>
      </c>
      <c r="CG10" s="12">
        <f t="shared" si="9"/>
        <v>48209</v>
      </c>
      <c r="CH10" s="12">
        <f t="shared" si="9"/>
        <v>48216</v>
      </c>
      <c r="CI10" s="12">
        <f t="shared" si="9"/>
        <v>48223</v>
      </c>
      <c r="CJ10" s="12">
        <f t="shared" si="9"/>
        <v>48230</v>
      </c>
      <c r="CK10" s="12">
        <f t="shared" si="9"/>
        <v>48237</v>
      </c>
      <c r="CL10" s="12">
        <f t="shared" si="9"/>
        <v>48244</v>
      </c>
      <c r="CM10" s="12">
        <f t="shared" si="9"/>
        <v>48251</v>
      </c>
      <c r="CN10" s="12">
        <f t="shared" si="9"/>
        <v>48258</v>
      </c>
      <c r="CO10" s="12">
        <f t="shared" si="9"/>
        <v>48265</v>
      </c>
      <c r="CP10" s="12">
        <f t="shared" si="9"/>
        <v>48272</v>
      </c>
      <c r="CQ10" s="12">
        <f t="shared" si="9"/>
        <v>48279</v>
      </c>
      <c r="CR10" s="12">
        <f t="shared" si="9"/>
        <v>48286</v>
      </c>
      <c r="CS10" s="12">
        <f t="shared" si="9"/>
        <v>48293</v>
      </c>
      <c r="CT10" s="12">
        <f t="shared" si="9"/>
        <v>48300</v>
      </c>
      <c r="CU10" s="12">
        <f t="shared" ref="CU10:DA10" si="10">CU2</f>
        <v>48307</v>
      </c>
      <c r="CV10" s="12">
        <f t="shared" si="10"/>
        <v>48314</v>
      </c>
      <c r="CW10" s="12">
        <f t="shared" si="10"/>
        <v>48321</v>
      </c>
      <c r="CX10" s="12">
        <f t="shared" si="10"/>
        <v>48328</v>
      </c>
      <c r="CY10" s="12">
        <f t="shared" si="10"/>
        <v>48335</v>
      </c>
      <c r="CZ10" s="12">
        <f t="shared" si="10"/>
        <v>48342</v>
      </c>
      <c r="DA10" s="12">
        <f t="shared" si="10"/>
        <v>48349</v>
      </c>
    </row>
    <row r="11" spans="2:235" x14ac:dyDescent="0.3">
      <c r="B11" t="s">
        <v>12</v>
      </c>
      <c r="C11" s="28">
        <f t="shared" ref="C11:AH11" si="11">C3/$C$3</f>
        <v>1</v>
      </c>
      <c r="D11" s="28">
        <f t="shared" si="11"/>
        <v>1</v>
      </c>
      <c r="E11" s="28">
        <f t="shared" si="11"/>
        <v>1</v>
      </c>
      <c r="F11" s="28">
        <f t="shared" si="11"/>
        <v>1</v>
      </c>
      <c r="G11" s="28">
        <f t="shared" si="11"/>
        <v>1</v>
      </c>
      <c r="H11" s="28">
        <f t="shared" si="11"/>
        <v>1</v>
      </c>
      <c r="I11" s="28">
        <f t="shared" si="11"/>
        <v>1</v>
      </c>
      <c r="J11" s="28">
        <f t="shared" si="11"/>
        <v>1</v>
      </c>
      <c r="K11" s="28">
        <f t="shared" si="11"/>
        <v>1</v>
      </c>
      <c r="L11" s="28">
        <f t="shared" si="11"/>
        <v>1</v>
      </c>
      <c r="M11" s="28">
        <f t="shared" si="11"/>
        <v>1</v>
      </c>
      <c r="N11" s="28">
        <f t="shared" si="11"/>
        <v>1</v>
      </c>
      <c r="O11" s="28">
        <f t="shared" si="11"/>
        <v>1</v>
      </c>
      <c r="P11" s="28">
        <f t="shared" si="11"/>
        <v>1</v>
      </c>
      <c r="Q11" s="28">
        <f t="shared" si="11"/>
        <v>1</v>
      </c>
      <c r="R11" s="28">
        <f t="shared" si="11"/>
        <v>1</v>
      </c>
      <c r="S11" s="28">
        <f t="shared" si="11"/>
        <v>1</v>
      </c>
      <c r="T11" s="28">
        <f t="shared" si="11"/>
        <v>1</v>
      </c>
      <c r="U11" s="28">
        <f t="shared" si="11"/>
        <v>1</v>
      </c>
      <c r="V11" s="28">
        <f t="shared" si="11"/>
        <v>1</v>
      </c>
      <c r="W11" s="28">
        <f t="shared" si="11"/>
        <v>1</v>
      </c>
      <c r="X11" s="28">
        <f t="shared" si="11"/>
        <v>1</v>
      </c>
      <c r="Y11" s="28">
        <f t="shared" si="11"/>
        <v>1</v>
      </c>
      <c r="Z11" s="28">
        <f t="shared" si="11"/>
        <v>1</v>
      </c>
      <c r="AA11" s="28">
        <f t="shared" si="11"/>
        <v>1</v>
      </c>
      <c r="AB11" s="28">
        <f t="shared" si="11"/>
        <v>1</v>
      </c>
      <c r="AC11" s="28">
        <f t="shared" si="11"/>
        <v>1</v>
      </c>
      <c r="AD11" s="28">
        <f t="shared" si="11"/>
        <v>1</v>
      </c>
      <c r="AE11" s="28">
        <f t="shared" si="11"/>
        <v>1</v>
      </c>
      <c r="AF11" s="28">
        <f t="shared" si="11"/>
        <v>1</v>
      </c>
      <c r="AG11" s="28">
        <f t="shared" si="11"/>
        <v>1</v>
      </c>
      <c r="AH11" s="28">
        <f t="shared" si="11"/>
        <v>1</v>
      </c>
      <c r="AI11" s="28">
        <f t="shared" ref="AI11:BN11" si="12">AI3/$C$3</f>
        <v>1</v>
      </c>
      <c r="AJ11" s="28">
        <f t="shared" si="12"/>
        <v>1</v>
      </c>
      <c r="AK11" s="28">
        <f t="shared" si="12"/>
        <v>1</v>
      </c>
      <c r="AL11" s="28">
        <f t="shared" si="12"/>
        <v>1</v>
      </c>
      <c r="AM11" s="28">
        <f t="shared" si="12"/>
        <v>1</v>
      </c>
      <c r="AN11" s="28">
        <f t="shared" si="12"/>
        <v>1</v>
      </c>
      <c r="AO11" s="28">
        <f t="shared" si="12"/>
        <v>1</v>
      </c>
      <c r="AP11" s="28">
        <f t="shared" si="12"/>
        <v>1</v>
      </c>
      <c r="AQ11" s="28">
        <f t="shared" si="12"/>
        <v>1</v>
      </c>
      <c r="AR11" s="28">
        <f t="shared" si="12"/>
        <v>1</v>
      </c>
      <c r="AS11" s="28">
        <f t="shared" si="12"/>
        <v>1</v>
      </c>
      <c r="AT11" s="28">
        <f t="shared" si="12"/>
        <v>1</v>
      </c>
      <c r="AU11" s="28">
        <f t="shared" si="12"/>
        <v>1</v>
      </c>
      <c r="AV11" s="28">
        <f t="shared" si="12"/>
        <v>1</v>
      </c>
      <c r="AW11" s="28">
        <f t="shared" si="12"/>
        <v>1</v>
      </c>
      <c r="AX11" s="28">
        <f t="shared" si="12"/>
        <v>1</v>
      </c>
      <c r="AY11" s="28">
        <f t="shared" si="12"/>
        <v>1</v>
      </c>
      <c r="AZ11" s="28">
        <f t="shared" si="12"/>
        <v>1</v>
      </c>
      <c r="BA11" s="28">
        <f t="shared" si="12"/>
        <v>1</v>
      </c>
      <c r="BB11" s="28">
        <f t="shared" si="12"/>
        <v>1</v>
      </c>
      <c r="BC11" s="28">
        <f t="shared" si="12"/>
        <v>1</v>
      </c>
      <c r="BD11" s="28">
        <f t="shared" si="12"/>
        <v>1</v>
      </c>
      <c r="BE11" s="28">
        <f t="shared" si="12"/>
        <v>1</v>
      </c>
      <c r="BF11" s="28">
        <f t="shared" si="12"/>
        <v>1</v>
      </c>
      <c r="BG11" s="28">
        <f t="shared" si="12"/>
        <v>1</v>
      </c>
      <c r="BH11" s="28">
        <f t="shared" si="12"/>
        <v>1</v>
      </c>
      <c r="BI11" s="28">
        <f t="shared" si="12"/>
        <v>1</v>
      </c>
      <c r="BJ11" s="28">
        <f t="shared" si="12"/>
        <v>1</v>
      </c>
      <c r="BK11" s="28">
        <f t="shared" si="12"/>
        <v>1</v>
      </c>
      <c r="BL11" s="28">
        <f t="shared" si="12"/>
        <v>1</v>
      </c>
      <c r="BM11" s="28">
        <f t="shared" si="12"/>
        <v>1</v>
      </c>
      <c r="BN11" s="28">
        <f t="shared" si="12"/>
        <v>1</v>
      </c>
      <c r="BO11" s="28">
        <f t="shared" ref="BO11:CT11" si="13">BO3/$C$3</f>
        <v>1</v>
      </c>
      <c r="BP11" s="28">
        <f t="shared" si="13"/>
        <v>1</v>
      </c>
      <c r="BQ11" s="28">
        <f t="shared" si="13"/>
        <v>1</v>
      </c>
      <c r="BR11" s="28">
        <f t="shared" si="13"/>
        <v>1</v>
      </c>
      <c r="BS11" s="28">
        <f t="shared" si="13"/>
        <v>1</v>
      </c>
      <c r="BT11" s="28">
        <f t="shared" si="13"/>
        <v>1</v>
      </c>
      <c r="BU11" s="28">
        <f t="shared" si="13"/>
        <v>1</v>
      </c>
      <c r="BV11" s="28">
        <f t="shared" si="13"/>
        <v>1</v>
      </c>
      <c r="BW11" s="28">
        <f t="shared" si="13"/>
        <v>1</v>
      </c>
      <c r="BX11" s="28">
        <f t="shared" si="13"/>
        <v>1</v>
      </c>
      <c r="BY11" s="28">
        <f t="shared" si="13"/>
        <v>1</v>
      </c>
      <c r="BZ11" s="28">
        <f t="shared" si="13"/>
        <v>1</v>
      </c>
      <c r="CA11" s="28">
        <f t="shared" si="13"/>
        <v>1</v>
      </c>
      <c r="CB11" s="28">
        <f t="shared" si="13"/>
        <v>1</v>
      </c>
      <c r="CC11" s="28">
        <f t="shared" si="13"/>
        <v>1</v>
      </c>
      <c r="CD11" s="28">
        <f t="shared" si="13"/>
        <v>1</v>
      </c>
      <c r="CE11" s="28">
        <f t="shared" si="13"/>
        <v>1</v>
      </c>
      <c r="CF11" s="28">
        <f t="shared" si="13"/>
        <v>1</v>
      </c>
      <c r="CG11" s="28">
        <f t="shared" si="13"/>
        <v>1</v>
      </c>
      <c r="CH11" s="28">
        <f t="shared" si="13"/>
        <v>1</v>
      </c>
      <c r="CI11" s="28">
        <f t="shared" si="13"/>
        <v>1</v>
      </c>
      <c r="CJ11" s="28">
        <f t="shared" si="13"/>
        <v>1</v>
      </c>
      <c r="CK11" s="28">
        <f t="shared" si="13"/>
        <v>1</v>
      </c>
      <c r="CL11" s="28">
        <f t="shared" si="13"/>
        <v>1</v>
      </c>
      <c r="CM11" s="28">
        <f t="shared" si="13"/>
        <v>1</v>
      </c>
      <c r="CN11" s="28">
        <f t="shared" si="13"/>
        <v>1</v>
      </c>
      <c r="CO11" s="28">
        <f t="shared" si="13"/>
        <v>1</v>
      </c>
      <c r="CP11" s="28">
        <f t="shared" si="13"/>
        <v>1</v>
      </c>
      <c r="CQ11" s="28">
        <f t="shared" si="13"/>
        <v>1</v>
      </c>
      <c r="CR11" s="28">
        <f t="shared" si="13"/>
        <v>1</v>
      </c>
      <c r="CS11" s="28">
        <f t="shared" si="13"/>
        <v>1</v>
      </c>
      <c r="CT11" s="28">
        <f t="shared" si="13"/>
        <v>1</v>
      </c>
      <c r="CU11" s="28">
        <f t="shared" ref="CU11:DA11" si="14">CU3/$C$3</f>
        <v>1</v>
      </c>
      <c r="CV11" s="28">
        <f t="shared" si="14"/>
        <v>1</v>
      </c>
      <c r="CW11" s="28">
        <f t="shared" si="14"/>
        <v>1</v>
      </c>
      <c r="CX11" s="28">
        <f t="shared" si="14"/>
        <v>1</v>
      </c>
      <c r="CY11" s="28">
        <f t="shared" si="14"/>
        <v>1</v>
      </c>
      <c r="CZ11" s="28">
        <f t="shared" si="14"/>
        <v>1</v>
      </c>
      <c r="DA11" s="28">
        <f t="shared" si="14"/>
        <v>1</v>
      </c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2:235" x14ac:dyDescent="0.3">
      <c r="B12" t="s">
        <v>6</v>
      </c>
      <c r="C12" s="28">
        <f t="shared" ref="C12:R12" si="15">C4/$C$3</f>
        <v>0.03</v>
      </c>
      <c r="D12" s="28">
        <f>D4/$C$3</f>
        <v>7.0000000000000007E-2</v>
      </c>
      <c r="E12" s="28">
        <f t="shared" si="15"/>
        <v>0.12</v>
      </c>
      <c r="F12" s="28">
        <f t="shared" si="15"/>
        <v>0.15</v>
      </c>
      <c r="G12" s="28">
        <f t="shared" si="15"/>
        <v>0.18</v>
      </c>
      <c r="H12" s="28">
        <f t="shared" si="15"/>
        <v>0.23</v>
      </c>
      <c r="I12" s="28">
        <f t="shared" si="15"/>
        <v>0.31</v>
      </c>
      <c r="J12" s="28">
        <f t="shared" si="15"/>
        <v>0.32</v>
      </c>
      <c r="K12" s="28">
        <f t="shared" si="15"/>
        <v>0.37</v>
      </c>
      <c r="L12" s="28">
        <f t="shared" si="15"/>
        <v>0.41</v>
      </c>
      <c r="M12" s="28">
        <f t="shared" si="15"/>
        <v>0.45</v>
      </c>
      <c r="N12" s="28">
        <f t="shared" si="15"/>
        <v>0.45</v>
      </c>
      <c r="O12" s="28">
        <f t="shared" si="15"/>
        <v>0.45</v>
      </c>
      <c r="P12" s="28">
        <f t="shared" si="15"/>
        <v>0.48</v>
      </c>
      <c r="Q12" s="28">
        <f t="shared" si="15"/>
        <v>0.53</v>
      </c>
      <c r="R12" s="28">
        <f t="shared" si="15"/>
        <v>0.57999999999999996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2:235" x14ac:dyDescent="0.3">
      <c r="B13" t="s">
        <v>0</v>
      </c>
      <c r="C13" s="28">
        <f t="shared" ref="C13:R13" si="16">C5/$C$3</f>
        <v>0.01</v>
      </c>
      <c r="D13" s="28">
        <f t="shared" si="16"/>
        <v>0.03</v>
      </c>
      <c r="E13" s="28">
        <f t="shared" si="16"/>
        <v>7.0000000000000007E-2</v>
      </c>
      <c r="F13" s="28">
        <f t="shared" si="16"/>
        <v>0.08</v>
      </c>
      <c r="G13" s="28">
        <f t="shared" si="16"/>
        <v>0.11</v>
      </c>
      <c r="H13" s="28">
        <f t="shared" si="16"/>
        <v>0.16</v>
      </c>
      <c r="I13" s="28">
        <f t="shared" si="16"/>
        <v>0.17</v>
      </c>
      <c r="J13" s="28">
        <f t="shared" si="16"/>
        <v>0.18</v>
      </c>
      <c r="K13" s="28">
        <f t="shared" si="16"/>
        <v>0.23</v>
      </c>
      <c r="L13" s="28">
        <f t="shared" si="16"/>
        <v>0.27</v>
      </c>
      <c r="M13" s="28">
        <f t="shared" si="16"/>
        <v>0.31</v>
      </c>
      <c r="N13" s="28">
        <f t="shared" si="16"/>
        <v>0.31</v>
      </c>
      <c r="O13" s="28">
        <f t="shared" si="16"/>
        <v>0.31</v>
      </c>
      <c r="P13" s="28">
        <f t="shared" si="16"/>
        <v>0.35</v>
      </c>
      <c r="Q13" s="28">
        <f t="shared" si="16"/>
        <v>0.4</v>
      </c>
      <c r="R13" s="28">
        <f t="shared" si="16"/>
        <v>0.45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2:235" x14ac:dyDescent="0.3">
      <c r="B14" t="s">
        <v>1</v>
      </c>
      <c r="C14" s="28">
        <f t="shared" ref="C14:R14" si="17">C6/$C$3</f>
        <v>0.02</v>
      </c>
      <c r="D14" s="28">
        <f t="shared" si="17"/>
        <v>0.04</v>
      </c>
      <c r="E14" s="28">
        <f t="shared" si="17"/>
        <v>0.05</v>
      </c>
      <c r="F14" s="28">
        <f t="shared" si="17"/>
        <v>7.0000000000000007E-2</v>
      </c>
      <c r="G14" s="28">
        <f t="shared" si="17"/>
        <v>7.0000000000000007E-2</v>
      </c>
      <c r="H14" s="28">
        <f t="shared" si="17"/>
        <v>7.0000000000000007E-2</v>
      </c>
      <c r="I14" s="28">
        <f t="shared" si="17"/>
        <v>0.12</v>
      </c>
      <c r="J14" s="28">
        <f t="shared" si="17"/>
        <v>0.12</v>
      </c>
      <c r="K14" s="28">
        <f t="shared" si="17"/>
        <v>0.12</v>
      </c>
      <c r="L14" s="28">
        <f t="shared" si="17"/>
        <v>0.12</v>
      </c>
      <c r="M14" s="28">
        <f t="shared" si="17"/>
        <v>0.12</v>
      </c>
      <c r="N14" s="28">
        <f t="shared" si="17"/>
        <v>0.12</v>
      </c>
      <c r="O14" s="28">
        <f t="shared" si="17"/>
        <v>0.12</v>
      </c>
      <c r="P14" s="28">
        <f t="shared" si="17"/>
        <v>0.11</v>
      </c>
      <c r="Q14" s="28">
        <f t="shared" si="17"/>
        <v>0.11</v>
      </c>
      <c r="R14" s="28">
        <f t="shared" si="17"/>
        <v>0.11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2:235" x14ac:dyDescent="0.3">
      <c r="B15" t="s">
        <v>5</v>
      </c>
      <c r="C15" s="28">
        <f t="shared" ref="C15:R15" si="18">C7/$C$3</f>
        <v>0</v>
      </c>
      <c r="D15" s="28">
        <f t="shared" si="18"/>
        <v>0</v>
      </c>
      <c r="E15" s="28">
        <f t="shared" si="18"/>
        <v>0</v>
      </c>
      <c r="F15" s="28">
        <f t="shared" si="18"/>
        <v>0</v>
      </c>
      <c r="G15" s="28">
        <f t="shared" si="18"/>
        <v>0</v>
      </c>
      <c r="H15" s="28">
        <f t="shared" si="18"/>
        <v>0</v>
      </c>
      <c r="I15" s="28">
        <f t="shared" si="18"/>
        <v>0.02</v>
      </c>
      <c r="J15" s="28">
        <f t="shared" si="18"/>
        <v>0.02</v>
      </c>
      <c r="K15" s="28">
        <f t="shared" si="18"/>
        <v>0.02</v>
      </c>
      <c r="L15" s="28">
        <f t="shared" si="18"/>
        <v>0.02</v>
      </c>
      <c r="M15" s="28">
        <f t="shared" si="18"/>
        <v>0.02</v>
      </c>
      <c r="N15" s="28">
        <f t="shared" si="18"/>
        <v>0.02</v>
      </c>
      <c r="O15" s="28">
        <f t="shared" si="18"/>
        <v>0.02</v>
      </c>
      <c r="P15" s="28">
        <f t="shared" si="18"/>
        <v>0.02</v>
      </c>
      <c r="Q15" s="28">
        <f t="shared" si="18"/>
        <v>0.02</v>
      </c>
      <c r="R15" s="28">
        <f t="shared" si="18"/>
        <v>0.02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 </vt:lpstr>
      <vt:lpstr>Feuil1</vt:lpstr>
      <vt:lpstr>Présentation</vt:lpstr>
      <vt:lpstr>Tableau de bord</vt:lpstr>
      <vt:lpstr>Analyse</vt:lpstr>
    </vt:vector>
  </TitlesOfParts>
  <Company>ASP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 RADID</dc:creator>
  <cp:lastModifiedBy>Farid BELKACEM</cp:lastModifiedBy>
  <cp:lastPrinted>2026-08-02T18:57:05Z</cp:lastPrinted>
  <dcterms:created xsi:type="dcterms:W3CDTF">2015-08-28T13:23:12Z</dcterms:created>
  <dcterms:modified xsi:type="dcterms:W3CDTF">2026-08-02T23:30:16Z</dcterms:modified>
</cp:coreProperties>
</file>